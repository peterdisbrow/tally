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unch Checklist" sheetId="1" state="visible" r:id="rId3"/>
    <sheet name="Timeline" sheetId="2" state="visible" r:id="rId4"/>
    <sheet name="Goals &amp; Metrics" sheetId="3" state="visible" r:id="rId5"/>
    <sheet name="Revenue Projections" sheetId="4" state="visible" r:id="rId6"/>
  </sheets>
  <definedNames>
    <definedName function="false" hidden="true" localSheetId="0" name="_xlnm._FilterDatabase" vbProcedure="false">'Launch Checklist'!$A$4:$I$49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<sst xmlns="http://schemas.openxmlformats.org/spreadsheetml/2006/main" count="554" uniqueCount="310">
  <si>
    <t xml:space="preserve">Tally Connect — Launch Checklist</t>
  </si>
  <si>
    <t xml:space="preserve">Updated: March 26, 2026</t>
  </si>
  <si>
    <t xml:space="preserve">#</t>
  </si>
  <si>
    <t xml:space="preserve">Task</t>
  </si>
  <si>
    <t xml:space="preserve">Category</t>
  </si>
  <si>
    <t xml:space="preserve">Priority</t>
  </si>
  <si>
    <t xml:space="preserve">Owner</t>
  </si>
  <si>
    <t xml:space="preserve">Status</t>
  </si>
  <si>
    <t xml:space="preserve">Est. Hours</t>
  </si>
  <si>
    <t xml:space="preserve">Dependencies</t>
  </si>
  <si>
    <t xml:space="preserve">Notes</t>
  </si>
  <si>
    <t xml:space="preserve">CRITICAL BLOCKERS</t>
  </si>
  <si>
    <t xml:space="preserve">Verify CI passes on latest main push</t>
  </si>
  <si>
    <t xml:space="preserve">Critical</t>
  </si>
  <si>
    <t xml:space="preserve">P0</t>
  </si>
  <si>
    <t xml:space="preserve">Dev</t>
  </si>
  <si>
    <t xml:space="preserve">Not Started</t>
  </si>
  <si>
    <t xml:space="preserve">-</t>
  </si>
  <si>
    <t xml:space="preserve">CI failed on 1b5f956 and 398a795</t>
  </si>
  <si>
    <t xml:space="preserve">Redeploy relay-server to Railway</t>
  </si>
  <si>
    <t xml:space="preserve">CI green</t>
  </si>
  <si>
    <t xml:space="preserve">Build failed Mar 21 — production may be stale</t>
  </si>
  <si>
    <t xml:space="preserve">Fix landing page signup plan selection</t>
  </si>
  <si>
    <t xml:space="preserve">Everyone lands on Connect regardless of CTA</t>
  </si>
  <si>
    <t xml:space="preserve">Add prices to billing page in portal</t>
  </si>
  <si>
    <t xml:space="preserve">Users can't see what they're paying for</t>
  </si>
  <si>
    <t xml:space="preserve">End-to-end signup → trial → upgrade test</t>
  </si>
  <si>
    <t xml:space="preserve">Items 1-4</t>
  </si>
  <si>
    <t xml:space="preserve">Full Stripe flow on staging</t>
  </si>
  <si>
    <t xml:space="preserve">Verify auto-update works with real GitHub Release</t>
  </si>
  <si>
    <t xml:space="preserve">Create test release, verify download + install</t>
  </si>
  <si>
    <t xml:space="preserve">Apple Developer certificate + notarization</t>
  </si>
  <si>
    <t xml:space="preserve">macOS Gatekeeper blocks unsigned apps</t>
  </si>
  <si>
    <t xml:space="preserve">PRE-LAUNCH</t>
  </si>
  <si>
    <t xml:space="preserve">Per-user portal login accounts</t>
  </si>
  <si>
    <t xml:space="preserve">Pre-Launch</t>
  </si>
  <si>
    <t xml:space="preserve">P1</t>
  </si>
  <si>
    <t xml:space="preserve">Currently 1 shared login per church</t>
  </si>
  <si>
    <t xml:space="preserve">Email notification fallback for alerts</t>
  </si>
  <si>
    <t xml:space="preserve">Telegram is only channel — single point of failure</t>
  </si>
  <si>
    <t xml:space="preserve">Billing page: show tier prices + feature comparison</t>
  </si>
  <si>
    <t xml:space="preserve">Item 4</t>
  </si>
  <si>
    <t xml:space="preserve">Users need to understand what they're upgrading to</t>
  </si>
  <si>
    <t xml:space="preserve">Portal code splitting / lazy loading</t>
  </si>
  <si>
    <t xml:space="preserve">590KB single-file SPA — slow on mobile</t>
  </si>
  <si>
    <t xml:space="preserve">Forgot password link in Electron app</t>
  </si>
  <si>
    <t xml:space="preserve">No in-app path to password recovery</t>
  </si>
  <si>
    <t xml:space="preserve">Complete Spanish i18n coverage</t>
  </si>
  <si>
    <t xml:space="preserve">Login page, billing modals, server errors still English</t>
  </si>
  <si>
    <t xml:space="preserve">Landing page SEO meta tags audit</t>
  </si>
  <si>
    <t xml:space="preserve">Marketing</t>
  </si>
  <si>
    <t xml:space="preserve">OG image 404, missing structured data</t>
  </si>
  <si>
    <t xml:space="preserve">Create product demo video (2-3 min)</t>
  </si>
  <si>
    <t xml:space="preserve">Show setup → monitoring → alert flow</t>
  </si>
  <si>
    <t xml:space="preserve">Write 3 launch blog posts</t>
  </si>
  <si>
    <t xml:space="preserve">Intro, use case story, comparison</t>
  </si>
  <si>
    <t xml:space="preserve">Set up Google Analytics + conversion tracking</t>
  </si>
  <si>
    <t xml:space="preserve">Track signup funnel</t>
  </si>
  <si>
    <t xml:space="preserve">Privacy policy + Terms of Service pages</t>
  </si>
  <si>
    <t xml:space="preserve">Ops</t>
  </si>
  <si>
    <t xml:space="preserve">Required before collecting payments</t>
  </si>
  <si>
    <t xml:space="preserve">Support email + helpdesk setup</t>
  </si>
  <si>
    <t xml:space="preserve">support@tallyconnect.app</t>
  </si>
  <si>
    <t xml:space="preserve">Redis/Upstash for production rate limiting</t>
  </si>
  <si>
    <t xml:space="preserve">In-memory rate limiter won't scale</t>
  </si>
  <si>
    <t xml:space="preserve">Stripe webhook endpoint SSL verification</t>
  </si>
  <si>
    <t xml:space="preserve">P2</t>
  </si>
  <si>
    <t xml:space="preserve">Confirm webhook signatures in production</t>
  </si>
  <si>
    <t xml:space="preserve">Onboarding email sequence (5 emails)</t>
  </si>
  <si>
    <t xml:space="preserve">Welcome → Setup → First service → Value → Upgrade</t>
  </si>
  <si>
    <t xml:space="preserve">ROI Calculator wired to landing page</t>
  </si>
  <si>
    <t xml:space="preserve">Component built but never rendered</t>
  </si>
  <si>
    <t xml:space="preserve">Knowledge base / FAQ docs</t>
  </si>
  <si>
    <t xml:space="preserve">Setup guides, troubleshooting, billing FAQ</t>
  </si>
  <si>
    <t xml:space="preserve">LAUNCH DAY</t>
  </si>
  <si>
    <t xml:space="preserve">Publish v1.1.0 GitHub Release (signed DMG + EXE)</t>
  </si>
  <si>
    <t xml:space="preserve">Launch</t>
  </si>
  <si>
    <t xml:space="preserve">Items 6,7</t>
  </si>
  <si>
    <t xml:space="preserve">Triggers auto-update for any beta users</t>
  </si>
  <si>
    <t xml:space="preserve">Deploy relay-server to Railway production</t>
  </si>
  <si>
    <t xml:space="preserve">All pre-launch done</t>
  </si>
  <si>
    <t xml:space="preserve">Final production deploy</t>
  </si>
  <si>
    <t xml:space="preserve">Publish landing page updates to Vercel</t>
  </si>
  <si>
    <t xml:space="preserve">Final copy, pricing, CTA fixes</t>
  </si>
  <si>
    <t xml:space="preserve">Send launch announcement email</t>
  </si>
  <si>
    <t xml:space="preserve">To beta users + waitlist</t>
  </si>
  <si>
    <t xml:space="preserve">Post on church AV Facebook groups</t>
  </si>
  <si>
    <t xml:space="preserve">Church Tech Leaders, AVL, etc.</t>
  </si>
  <si>
    <t xml:space="preserve">Post on Reddit r/churchav r/livesound</t>
  </si>
  <si>
    <t xml:space="preserve">Authentic intro, not spammy</t>
  </si>
  <si>
    <t xml:space="preserve">Monitor error logs + Stripe dashboard</t>
  </si>
  <si>
    <t xml:space="preserve">All day — watch for signup failures</t>
  </si>
  <si>
    <t xml:space="preserve">POST-LAUNCH (Weeks 1-4)</t>
  </si>
  <si>
    <t xml:space="preserve">Daily error log review + hotfix cycle</t>
  </si>
  <si>
    <t xml:space="preserve">Post-Launch</t>
  </si>
  <si>
    <t xml:space="preserve">Per day — first 2 weeks</t>
  </si>
  <si>
    <t xml:space="preserve">Collect NPS from first 10 churches</t>
  </si>
  <si>
    <t xml:space="preserve">Simple survey after 1 week</t>
  </si>
  <si>
    <t xml:space="preserve">Fix top 3 user-reported issues</t>
  </si>
  <si>
    <t xml:space="preserve">Budget 4 hrs each</t>
  </si>
  <si>
    <t xml:space="preserve">Church spotlight / case study</t>
  </si>
  <si>
    <t xml:space="preserve">Interview a happy beta church</t>
  </si>
  <si>
    <t xml:space="preserve">Planning Center integration docs</t>
  </si>
  <si>
    <t xml:space="preserve">Self-serve setup guide</t>
  </si>
  <si>
    <t xml:space="preserve">PWA manifest for mobile portal</t>
  </si>
  <si>
    <t xml:space="preserve">Add to Home Screen support</t>
  </si>
  <si>
    <t xml:space="preserve">Cross-campus unified dashboard</t>
  </si>
  <si>
    <t xml:space="preserve">Multi-campus admin single view</t>
  </si>
  <si>
    <t xml:space="preserve">Referral program setup</t>
  </si>
  <si>
    <t xml:space="preserve">P3</t>
  </si>
  <si>
    <t xml:space="preserve">Churches referring churches</t>
  </si>
  <si>
    <t xml:space="preserve">Monthly product update email</t>
  </si>
  <si>
    <t xml:space="preserve">Changelog + tips newsletter</t>
  </si>
  <si>
    <t xml:space="preserve">App Store / Homebrew distribution</t>
  </si>
  <si>
    <t xml:space="preserve">Easier discovery and install</t>
  </si>
  <si>
    <t xml:space="preserve">TOTAL HOURS:</t>
  </si>
  <si>
    <t xml:space="preserve">Tally Connect — Launch Timeline</t>
  </si>
  <si>
    <t xml:space="preserve">Target Launch: Week of May 25, 2026 (~9 weeks)</t>
  </si>
  <si>
    <t xml:space="preserve">Week</t>
  </si>
  <si>
    <t xml:space="preserve">Dates</t>
  </si>
  <si>
    <t xml:space="preserve">Phase</t>
  </si>
  <si>
    <t xml:space="preserve">Dev Tasks (~20 hrs)</t>
  </si>
  <si>
    <t xml:space="preserve">Marketing/Ops Tasks (~10 hrs)</t>
  </si>
  <si>
    <t xml:space="preserve">Milestone</t>
  </si>
  <si>
    <t xml:space="preserve">Week 1</t>
  </si>
  <si>
    <t xml:space="preserve">Mar 30 – Apr 5</t>
  </si>
  <si>
    <t xml:space="preserve">Fix Blockers</t>
  </si>
  <si>
    <t xml:space="preserve">CI fixes, Railway redeploy, signup plan selection fix, billing page prices</t>
  </si>
  <si>
    <t xml:space="preserve">Set up analytics, start demo video script</t>
  </si>
  <si>
    <t xml:space="preserve">CI green, production live</t>
  </si>
  <si>
    <t xml:space="preserve">Week 2</t>
  </si>
  <si>
    <t xml:space="preserve">Apr 6 – 12</t>
  </si>
  <si>
    <t xml:space="preserve">E2E signup→trial→upgrade test, auto-update verification, Apple cert submission</t>
  </si>
  <si>
    <t xml:space="preserve">Draft launch blog post #1, SEO audit fixes</t>
  </si>
  <si>
    <t xml:space="preserve">Stripe flow verified end-to-end</t>
  </si>
  <si>
    <t xml:space="preserve">Week 3</t>
  </si>
  <si>
    <t xml:space="preserve">Apr 13 – 19</t>
  </si>
  <si>
    <t xml:space="preserve">Core Polish</t>
  </si>
  <si>
    <t xml:space="preserve">Per-user portal accounts (part 1), forgot password link, Redis rate limiting</t>
  </si>
  <si>
    <t xml:space="preserve">Privacy policy + ToS drafts, support email setup</t>
  </si>
  <si>
    <t xml:space="preserve">Portal auth redesign started</t>
  </si>
  <si>
    <t xml:space="preserve">Week 4</t>
  </si>
  <si>
    <t xml:space="preserve">Apr 20 – 26</t>
  </si>
  <si>
    <t xml:space="preserve">Per-user portal accounts (part 2), email notification fallback</t>
  </si>
  <si>
    <t xml:space="preserve">Onboarding email sequence (5 emails), knowledge base start</t>
  </si>
  <si>
    <t xml:space="preserve">Multi-user portal live</t>
  </si>
  <si>
    <t xml:space="preserve">Week 5</t>
  </si>
  <si>
    <t xml:space="preserve">Apr 27 – May 3</t>
  </si>
  <si>
    <t xml:space="preserve">Launch Prep</t>
  </si>
  <si>
    <t xml:space="preserve">Portal code splitting, Spanish i18n completion, ROI calculator wiring</t>
  </si>
  <si>
    <t xml:space="preserve">Demo video production, blog posts #2 and #3</t>
  </si>
  <si>
    <t xml:space="preserve">Portal under 200KB initial load</t>
  </si>
  <si>
    <t xml:space="preserve">Week 6</t>
  </si>
  <si>
    <t xml:space="preserve">May 4 – 10</t>
  </si>
  <si>
    <t xml:space="preserve">Beta Outreach</t>
  </si>
  <si>
    <t xml:space="preserve">Bug fixes from beta feedback, webhook SSL verification</t>
  </si>
  <si>
    <t xml:space="preserve">Reach out to 10 churches for beta, FAQ docs</t>
  </si>
  <si>
    <t xml:space="preserve">5 beta churches actively using</t>
  </si>
  <si>
    <t xml:space="preserve">Week 7</t>
  </si>
  <si>
    <t xml:space="preserve">May 11 – 17</t>
  </si>
  <si>
    <t xml:space="preserve">Top beta bug fixes, Stripe edge cases</t>
  </si>
  <si>
    <t xml:space="preserve">Collect beta feedback, refine messaging, prep launch email</t>
  </si>
  <si>
    <t xml:space="preserve">10 beta churches, feedback collected</t>
  </si>
  <si>
    <t xml:space="preserve">Week 8</t>
  </si>
  <si>
    <t xml:space="preserve">May 18 – 24</t>
  </si>
  <si>
    <t xml:space="preserve">Final Prep</t>
  </si>
  <si>
    <t xml:space="preserve">Final QA pass, staging → production, notarized build</t>
  </si>
  <si>
    <t xml:space="preserve">Launch email drafted, social posts queued</t>
  </si>
  <si>
    <t xml:space="preserve">Launch-ready build signed &amp; tested</t>
  </si>
  <si>
    <t xml:space="preserve">Week 9</t>
  </si>
  <si>
    <t xml:space="preserve">May 25 – 31</t>
  </si>
  <si>
    <t xml:space="preserve">LAUNCH</t>
  </si>
  <si>
    <t xml:space="preserve">Publish release, deploy production, monitor logs all week</t>
  </si>
  <si>
    <t xml:space="preserve">Launch email, Facebook groups, Reddit, Product Hunt?</t>
  </si>
  <si>
    <t xml:space="preserve">🚀 LIVE — first paid signups</t>
  </si>
  <si>
    <t xml:space="preserve">Week 10</t>
  </si>
  <si>
    <t xml:space="preserve">Jun 1 – 7</t>
  </si>
  <si>
    <t xml:space="preserve">Daily hotfix cycle, top 3 reported issues</t>
  </si>
  <si>
    <t xml:space="preserve">NPS survey to early users, monitor conversion funnel</t>
  </si>
  <si>
    <t xml:space="preserve">First MRR milestone</t>
  </si>
  <si>
    <t xml:space="preserve">Week 11</t>
  </si>
  <si>
    <t xml:space="preserve">Jun 8 – 14</t>
  </si>
  <si>
    <t xml:space="preserve">Planning Center integration docs, PWA manifest</t>
  </si>
  <si>
    <t xml:space="preserve">Church spotlight / case study interview</t>
  </si>
  <si>
    <t xml:space="preserve">Case study published</t>
  </si>
  <si>
    <t xml:space="preserve">Week 12</t>
  </si>
  <si>
    <t xml:space="preserve">Jun 15 – 21</t>
  </si>
  <si>
    <t xml:space="preserve">Cross-campus dashboard (part 1)</t>
  </si>
  <si>
    <t xml:space="preserve">Referral program setup, monthly newsletter</t>
  </si>
  <si>
    <t xml:space="preserve">Multi-campus feature preview</t>
  </si>
  <si>
    <t xml:space="preserve">Week 13</t>
  </si>
  <si>
    <t xml:space="preserve">Jun 22 – 28</t>
  </si>
  <si>
    <t xml:space="preserve">Cross-campus dashboard (part 2), App Store prep</t>
  </si>
  <si>
    <t xml:space="preserve">Product update email, analyze churn</t>
  </si>
  <si>
    <t xml:space="preserve">30-day post-launch review</t>
  </si>
  <si>
    <t xml:space="preserve">Tally Connect — Goals &amp; Metrics</t>
  </si>
  <si>
    <t xml:space="preserve">Metric</t>
  </si>
  <si>
    <t xml:space="preserve">Target</t>
  </si>
  <si>
    <t xml:space="preserve">Stretch Goal</t>
  </si>
  <si>
    <t xml:space="preserve">How to Measure</t>
  </si>
  <si>
    <t xml:space="preserve">PRE-LAUNCH (Weeks 1-8)</t>
  </si>
  <si>
    <t xml:space="preserve">Beta churches onboarded</t>
  </si>
  <si>
    <t xml:space="preserve">Stripe customer count (trial)</t>
  </si>
  <si>
    <t xml:space="preserve">Personal outreach to local churches + online communities</t>
  </si>
  <si>
    <t xml:space="preserve">Open bugs (P0/P1)</t>
  </si>
  <si>
    <t xml:space="preserve">GitHub Issues</t>
  </si>
  <si>
    <t xml:space="preserve">Zero P0/P1 at launch gate</t>
  </si>
  <si>
    <t xml:space="preserve">CI pass rate</t>
  </si>
  <si>
    <t xml:space="preserve">100%</t>
  </si>
  <si>
    <t xml:space="preserve">GitHub Actions</t>
  </si>
  <si>
    <t xml:space="preserve">All 3 test suites green</t>
  </si>
  <si>
    <t xml:space="preserve">Lighthouse score (landing page)</t>
  </si>
  <si>
    <t xml:space="preserve">90+</t>
  </si>
  <si>
    <t xml:space="preserve">95+</t>
  </si>
  <si>
    <t xml:space="preserve">PageSpeed Insights</t>
  </si>
  <si>
    <t xml:space="preserve">Performance, SEO, Accessibility</t>
  </si>
  <si>
    <t xml:space="preserve">Beta NPS score</t>
  </si>
  <si>
    <t xml:space="preserve">40+</t>
  </si>
  <si>
    <t xml:space="preserve">60+</t>
  </si>
  <si>
    <t xml:space="preserve">Survey (1-10 scale)</t>
  </si>
  <si>
    <t xml:space="preserve">Anything above 30 is good for beta</t>
  </si>
  <si>
    <t xml:space="preserve">LAUNCH WEEK (Week 9)</t>
  </si>
  <si>
    <t xml:space="preserve">New signups</t>
  </si>
  <si>
    <t xml:space="preserve">Stripe + DB</t>
  </si>
  <si>
    <t xml:space="preserve">Free + paid combined</t>
  </si>
  <si>
    <t xml:space="preserve">Paid conversions (trial → Plus/Pro)</t>
  </si>
  <si>
    <t xml:space="preserve">Stripe dashboard</t>
  </si>
  <si>
    <t xml:space="preserve">~12% conversion rate target</t>
  </si>
  <si>
    <t xml:space="preserve">Landing page → signup conversion</t>
  </si>
  <si>
    <t xml:space="preserve">5%</t>
  </si>
  <si>
    <t xml:space="preserve">8%</t>
  </si>
  <si>
    <t xml:space="preserve">Google Analytics funnel</t>
  </si>
  <si>
    <t xml:space="preserve">Industry avg is 2-5% for SaaS</t>
  </si>
  <si>
    <t xml:space="preserve">Uptime</t>
  </si>
  <si>
    <t xml:space="preserve">99.9%</t>
  </si>
  <si>
    <t xml:space="preserve">Health endpoint monitor</t>
  </si>
  <si>
    <t xml:space="preserve">No downtime during launch week</t>
  </si>
  <si>
    <t xml:space="preserve">Support tickets</t>
  </si>
  <si>
    <t xml:space="preserve">&lt;10</t>
  </si>
  <si>
    <t xml:space="preserve">&lt;5</t>
  </si>
  <si>
    <t xml:space="preserve">Email inbox</t>
  </si>
  <si>
    <t xml:space="preserve">Low = good onboarding</t>
  </si>
  <si>
    <t xml:space="preserve">30-DAY (Week 13)</t>
  </si>
  <si>
    <t xml:space="preserve">Total churches (free + paid)</t>
  </si>
  <si>
    <t xml:space="preserve">DB count</t>
  </si>
  <si>
    <t xml:space="preserve">Includes free Connect tier</t>
  </si>
  <si>
    <t xml:space="preserve">Paying churches</t>
  </si>
  <si>
    <t xml:space="preserve">Stripe active subscriptions</t>
  </si>
  <si>
    <t xml:space="preserve">Plus, Pro, or Enterprise</t>
  </si>
  <si>
    <t xml:space="preserve">MRR</t>
  </si>
  <si>
    <t xml:space="preserve">$350</t>
  </si>
  <si>
    <t xml:space="preserve">$700</t>
  </si>
  <si>
    <t xml:space="preserve">Stripe MRR dashboard</t>
  </si>
  <si>
    <t xml:space="preserve">8 × avg $44/mo</t>
  </si>
  <si>
    <t xml:space="preserve">Monthly churn rate</t>
  </si>
  <si>
    <t xml:space="preserve">&lt;5%</t>
  </si>
  <si>
    <t xml:space="preserve">&lt;3%</t>
  </si>
  <si>
    <t xml:space="preserve">Stripe cancellations / active</t>
  </si>
  <si>
    <t xml:space="preserve">First-month churn is typically higher</t>
  </si>
  <si>
    <t xml:space="preserve">NPS score</t>
  </si>
  <si>
    <t xml:space="preserve">50+</t>
  </si>
  <si>
    <t xml:space="preserve">65+</t>
  </si>
  <si>
    <t xml:space="preserve">Survey</t>
  </si>
  <si>
    <t xml:space="preserve">Good = 50+, Great = 70+</t>
  </si>
  <si>
    <t xml:space="preserve">90-DAY (Month 3)</t>
  </si>
  <si>
    <t xml:space="preserve">Total churches</t>
  </si>
  <si>
    <t xml:space="preserve">Organic + referral growth</t>
  </si>
  <si>
    <t xml:space="preserve">Stripe</t>
  </si>
  <si>
    <t xml:space="preserve">25% paid conversion rate</t>
  </si>
  <si>
    <t xml:space="preserve">$1,200</t>
  </si>
  <si>
    <t xml:space="preserve">$2,500</t>
  </si>
  <si>
    <t xml:space="preserve">Blended avg ~$60/mo</t>
  </si>
  <si>
    <t xml:space="preserve">Annual run rate</t>
  </si>
  <si>
    <t xml:space="preserve">$14,400</t>
  </si>
  <si>
    <t xml:space="preserve">$30,000</t>
  </si>
  <si>
    <t xml:space="preserve">MRR × 12</t>
  </si>
  <si>
    <t xml:space="preserve">ARR milestone</t>
  </si>
  <si>
    <t xml:space="preserve">Referral signups</t>
  </si>
  <si>
    <t xml:space="preserve">Referral tracking</t>
  </si>
  <si>
    <t xml:space="preserve">Feature requests logged</t>
  </si>
  <si>
    <t xml:space="preserve">GitHub Issues / feedback</t>
  </si>
  <si>
    <t xml:space="preserve">Signal of engagement</t>
  </si>
  <si>
    <t xml:space="preserve">Tally Connect — Revenue Projections (6-Month)</t>
  </si>
  <si>
    <t xml:space="preserve">Pricing Table</t>
  </si>
  <si>
    <t xml:space="preserve">Tier</t>
  </si>
  <si>
    <t xml:space="preserve">Monthly Price</t>
  </si>
  <si>
    <t xml:space="preserve">Connect</t>
  </si>
  <si>
    <t xml:space="preserve">Plus</t>
  </si>
  <si>
    <t xml:space="preserve">Pro</t>
  </si>
  <si>
    <t xml:space="preserve">Enterprise</t>
  </si>
  <si>
    <t xml:space="preserve">Conservative Scenario</t>
  </si>
  <si>
    <t xml:space="preserve">Subscribers</t>
  </si>
  <si>
    <t xml:space="preserve">Month 1
Jun '26</t>
  </si>
  <si>
    <t xml:space="preserve">Month 2
Jul '26</t>
  </si>
  <si>
    <t xml:space="preserve">Month 3
Aug '26</t>
  </si>
  <si>
    <t xml:space="preserve">Month 4
Sep '26</t>
  </si>
  <si>
    <t xml:space="preserve">Month 5
Oct '26</t>
  </si>
  <si>
    <t xml:space="preserve">Month 6
Nov '26</t>
  </si>
  <si>
    <t xml:space="preserve">Count</t>
  </si>
  <si>
    <t xml:space="preserve">Total Subs</t>
  </si>
  <si>
    <t xml:space="preserve">Moderate Scenario</t>
  </si>
  <si>
    <t xml:space="preserve">Optimistic Scenario</t>
  </si>
  <si>
    <t xml:space="preserve">Scenario Comparison — Month 6 MRR</t>
  </si>
  <si>
    <t xml:space="preserve">Scenario</t>
  </si>
  <si>
    <t xml:space="preserve">Month 6 MRR</t>
  </si>
  <si>
    <t xml:space="preserve">Month 6 ARR</t>
  </si>
  <si>
    <t xml:space="preserve">Month 6 Paid Subs</t>
  </si>
  <si>
    <t xml:space="preserve">Conservative</t>
  </si>
  <si>
    <t xml:space="preserve">Moderate</t>
  </si>
  <si>
    <t xml:space="preserve">Optimistic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</si>
</sst>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E2F3"/>
      </patternFill>
    </fill>
    <fill>
      <patternFill patternType="solid">
        <fgColor rgb="FFFFD7D7"/>
        <bgColor rgb="FFD9D9D9"/>
      </patternFill>
    </fill>
    <fill>
      <patternFill patternType="solid">
        <fgColor rgb="FFFFF2CC"/>
        <bgColor rgb="FFE2EFDA"/>
      </patternFill>
    </fill>
    <fill>
      <patternFill patternType="solid">
        <fgColor rgb="FFD9E2F3"/>
        <bgColor rgb="FFD6E4F0"/>
      </patternFill>
    </fill>
    <fill>
      <patternFill patternType="solid">
        <fgColor rgb="FFE2EFDA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FFF99"/>
      <rgbColor rgb="FF99CCFF"/>
      <rgbColor rgb="FFFF99CC"/>
      <rgbColor rgb="FFCC99FF"/>
      <rgbColor rgb="FFFFD7D7"/>
      <rgbColor rgb="FF2E75B6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I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5" t="n">
        <v>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n">
        <v>1</v>
      </c>
      <c r="H6" s="5" t="s">
        <v>17</v>
      </c>
      <c r="I6" s="5" t="s">
        <v>18</v>
      </c>
    </row>
    <row r="7" customFormat="false" ht="15" hidden="false" customHeight="false" outlineLevel="0" collapsed="false">
      <c r="A7" s="5" t="n">
        <v>2</v>
      </c>
      <c r="B7" s="5" t="s">
        <v>19</v>
      </c>
      <c r="C7" s="5" t="s">
        <v>13</v>
      </c>
      <c r="D7" s="5" t="s">
        <v>14</v>
      </c>
      <c r="E7" s="5" t="s">
        <v>15</v>
      </c>
      <c r="F7" s="5" t="s">
        <v>16</v>
      </c>
      <c r="G7" s="5" t="n">
        <v>1</v>
      </c>
      <c r="H7" s="5" t="s">
        <v>20</v>
      </c>
      <c r="I7" s="5" t="s">
        <v>21</v>
      </c>
    </row>
    <row r="8" customFormat="false" ht="15" hidden="false" customHeight="false" outlineLevel="0" collapsed="false">
      <c r="A8" s="5" t="n">
        <v>3</v>
      </c>
      <c r="B8" s="5" t="s">
        <v>22</v>
      </c>
      <c r="C8" s="5" t="s">
        <v>13</v>
      </c>
      <c r="D8" s="5" t="s">
        <v>14</v>
      </c>
      <c r="E8" s="5" t="s">
        <v>15</v>
      </c>
      <c r="F8" s="5" t="s">
        <v>16</v>
      </c>
      <c r="G8" s="5" t="n">
        <v>3</v>
      </c>
      <c r="H8" s="5" t="s">
        <v>17</v>
      </c>
      <c r="I8" s="5" t="s">
        <v>23</v>
      </c>
    </row>
    <row r="9" customFormat="false" ht="15" hidden="false" customHeight="false" outlineLevel="0" collapsed="false">
      <c r="A9" s="5" t="n">
        <v>4</v>
      </c>
      <c r="B9" s="5" t="s">
        <v>24</v>
      </c>
      <c r="C9" s="5" t="s">
        <v>13</v>
      </c>
      <c r="D9" s="5" t="s">
        <v>14</v>
      </c>
      <c r="E9" s="5" t="s">
        <v>15</v>
      </c>
      <c r="F9" s="5" t="s">
        <v>16</v>
      </c>
      <c r="G9" s="5" t="n">
        <v>4</v>
      </c>
      <c r="H9" s="5" t="s">
        <v>17</v>
      </c>
      <c r="I9" s="5" t="s">
        <v>25</v>
      </c>
    </row>
    <row r="10" customFormat="false" ht="15" hidden="false" customHeight="false" outlineLevel="0" collapsed="false">
      <c r="A10" s="5" t="n">
        <v>5</v>
      </c>
      <c r="B10" s="5" t="s">
        <v>26</v>
      </c>
      <c r="C10" s="5" t="s">
        <v>13</v>
      </c>
      <c r="D10" s="5" t="s">
        <v>14</v>
      </c>
      <c r="E10" s="5" t="s">
        <v>15</v>
      </c>
      <c r="F10" s="5" t="s">
        <v>16</v>
      </c>
      <c r="G10" s="5" t="n">
        <v>4</v>
      </c>
      <c r="H10" s="5" t="s">
        <v>27</v>
      </c>
      <c r="I10" s="5" t="s">
        <v>28</v>
      </c>
    </row>
    <row r="11" customFormat="false" ht="15" hidden="false" customHeight="false" outlineLevel="0" collapsed="false">
      <c r="A11" s="5" t="n">
        <v>6</v>
      </c>
      <c r="B11" s="5" t="s">
        <v>29</v>
      </c>
      <c r="C11" s="5" t="s">
        <v>13</v>
      </c>
      <c r="D11" s="5" t="s">
        <v>14</v>
      </c>
      <c r="E11" s="5" t="s">
        <v>15</v>
      </c>
      <c r="F11" s="5" t="s">
        <v>16</v>
      </c>
      <c r="G11" s="5" t="n">
        <v>3</v>
      </c>
      <c r="H11" s="5" t="s">
        <v>20</v>
      </c>
      <c r="I11" s="5" t="s">
        <v>30</v>
      </c>
    </row>
    <row r="12" customFormat="false" ht="15" hidden="false" customHeight="false" outlineLevel="0" collapsed="false">
      <c r="A12" s="5" t="n">
        <v>7</v>
      </c>
      <c r="B12" s="5" t="s">
        <v>31</v>
      </c>
      <c r="C12" s="5" t="s">
        <v>13</v>
      </c>
      <c r="D12" s="5" t="s">
        <v>14</v>
      </c>
      <c r="E12" s="5" t="s">
        <v>15</v>
      </c>
      <c r="F12" s="5" t="s">
        <v>16</v>
      </c>
      <c r="G12" s="5" t="n">
        <v>4</v>
      </c>
      <c r="H12" s="5" t="s">
        <v>17</v>
      </c>
      <c r="I12" s="5" t="s">
        <v>32</v>
      </c>
    </row>
    <row r="13" customFormat="false" ht="15" hidden="false" customHeight="false" outlineLevel="0" collapsed="false">
      <c r="A13" s="4" t="s">
        <v>33</v>
      </c>
      <c r="B13" s="4"/>
      <c r="C13" s="4"/>
      <c r="D13" s="4"/>
      <c r="E13" s="4"/>
      <c r="F13" s="4"/>
      <c r="G13" s="4"/>
      <c r="H13" s="4"/>
      <c r="I13" s="4"/>
    </row>
    <row r="14" customFormat="false" ht="15" hidden="false" customHeight="false" outlineLevel="0" collapsed="false">
      <c r="A14" s="6" t="n">
        <v>8</v>
      </c>
      <c r="B14" s="6" t="s">
        <v>34</v>
      </c>
      <c r="C14" s="6" t="s">
        <v>35</v>
      </c>
      <c r="D14" s="6" t="s">
        <v>36</v>
      </c>
      <c r="E14" s="6" t="s">
        <v>15</v>
      </c>
      <c r="F14" s="6" t="s">
        <v>16</v>
      </c>
      <c r="G14" s="6" t="n">
        <v>16</v>
      </c>
      <c r="H14" s="6" t="s">
        <v>17</v>
      </c>
      <c r="I14" s="6" t="s">
        <v>37</v>
      </c>
    </row>
    <row r="15" customFormat="false" ht="15" hidden="false" customHeight="false" outlineLevel="0" collapsed="false">
      <c r="A15" s="6" t="n">
        <v>9</v>
      </c>
      <c r="B15" s="6" t="s">
        <v>38</v>
      </c>
      <c r="C15" s="6" t="s">
        <v>35</v>
      </c>
      <c r="D15" s="6" t="s">
        <v>36</v>
      </c>
      <c r="E15" s="6" t="s">
        <v>15</v>
      </c>
      <c r="F15" s="6" t="s">
        <v>16</v>
      </c>
      <c r="G15" s="6" t="n">
        <v>12</v>
      </c>
      <c r="H15" s="6" t="s">
        <v>17</v>
      </c>
      <c r="I15" s="6" t="s">
        <v>39</v>
      </c>
    </row>
    <row r="16" customFormat="false" ht="23.85" hidden="false" customHeight="false" outlineLevel="0" collapsed="false">
      <c r="A16" s="6" t="n">
        <v>10</v>
      </c>
      <c r="B16" s="6" t="s">
        <v>40</v>
      </c>
      <c r="C16" s="6" t="s">
        <v>35</v>
      </c>
      <c r="D16" s="6" t="s">
        <v>36</v>
      </c>
      <c r="E16" s="6" t="s">
        <v>15</v>
      </c>
      <c r="F16" s="6" t="s">
        <v>16</v>
      </c>
      <c r="G16" s="6" t="n">
        <v>6</v>
      </c>
      <c r="H16" s="6" t="s">
        <v>41</v>
      </c>
      <c r="I16" s="6" t="s">
        <v>42</v>
      </c>
    </row>
    <row r="17" customFormat="false" ht="15" hidden="false" customHeight="false" outlineLevel="0" collapsed="false">
      <c r="A17" s="6" t="n">
        <v>11</v>
      </c>
      <c r="B17" s="6" t="s">
        <v>43</v>
      </c>
      <c r="C17" s="6" t="s">
        <v>35</v>
      </c>
      <c r="D17" s="6" t="s">
        <v>36</v>
      </c>
      <c r="E17" s="6" t="s">
        <v>15</v>
      </c>
      <c r="F17" s="6" t="s">
        <v>16</v>
      </c>
      <c r="G17" s="6" t="n">
        <v>8</v>
      </c>
      <c r="H17" s="6" t="s">
        <v>17</v>
      </c>
      <c r="I17" s="6" t="s">
        <v>44</v>
      </c>
    </row>
    <row r="18" customFormat="false" ht="15" hidden="false" customHeight="false" outlineLevel="0" collapsed="false">
      <c r="A18" s="6" t="n">
        <v>12</v>
      </c>
      <c r="B18" s="6" t="s">
        <v>45</v>
      </c>
      <c r="C18" s="6" t="s">
        <v>35</v>
      </c>
      <c r="D18" s="6" t="s">
        <v>36</v>
      </c>
      <c r="E18" s="6" t="s">
        <v>15</v>
      </c>
      <c r="F18" s="6" t="s">
        <v>16</v>
      </c>
      <c r="G18" s="6" t="n">
        <v>2</v>
      </c>
      <c r="H18" s="6" t="s">
        <v>17</v>
      </c>
      <c r="I18" s="6" t="s">
        <v>46</v>
      </c>
    </row>
    <row r="19" customFormat="false" ht="23.85" hidden="false" customHeight="false" outlineLevel="0" collapsed="false">
      <c r="A19" s="6" t="n">
        <v>13</v>
      </c>
      <c r="B19" s="6" t="s">
        <v>47</v>
      </c>
      <c r="C19" s="6" t="s">
        <v>35</v>
      </c>
      <c r="D19" s="6" t="s">
        <v>36</v>
      </c>
      <c r="E19" s="6" t="s">
        <v>15</v>
      </c>
      <c r="F19" s="6" t="s">
        <v>16</v>
      </c>
      <c r="G19" s="6" t="n">
        <v>8</v>
      </c>
      <c r="H19" s="6" t="s">
        <v>17</v>
      </c>
      <c r="I19" s="6" t="s">
        <v>48</v>
      </c>
    </row>
    <row r="20" customFormat="false" ht="15" hidden="false" customHeight="false" outlineLevel="0" collapsed="false">
      <c r="A20" s="6" t="n">
        <v>14</v>
      </c>
      <c r="B20" s="6" t="s">
        <v>49</v>
      </c>
      <c r="C20" s="6" t="s">
        <v>35</v>
      </c>
      <c r="D20" s="6" t="s">
        <v>36</v>
      </c>
      <c r="E20" s="6" t="s">
        <v>50</v>
      </c>
      <c r="F20" s="6" t="s">
        <v>16</v>
      </c>
      <c r="G20" s="6" t="n">
        <v>3</v>
      </c>
      <c r="H20" s="6" t="s">
        <v>17</v>
      </c>
      <c r="I20" s="6" t="s">
        <v>51</v>
      </c>
    </row>
    <row r="21" customFormat="false" ht="15" hidden="false" customHeight="false" outlineLevel="0" collapsed="false">
      <c r="A21" s="6" t="n">
        <v>15</v>
      </c>
      <c r="B21" s="6" t="s">
        <v>52</v>
      </c>
      <c r="C21" s="6" t="s">
        <v>35</v>
      </c>
      <c r="D21" s="6" t="s">
        <v>36</v>
      </c>
      <c r="E21" s="6" t="s">
        <v>50</v>
      </c>
      <c r="F21" s="6" t="s">
        <v>16</v>
      </c>
      <c r="G21" s="6" t="n">
        <v>12</v>
      </c>
      <c r="H21" s="6" t="s">
        <v>17</v>
      </c>
      <c r="I21" s="6" t="s">
        <v>53</v>
      </c>
    </row>
    <row r="22" customFormat="false" ht="15" hidden="false" customHeight="false" outlineLevel="0" collapsed="false">
      <c r="A22" s="6" t="n">
        <v>16</v>
      </c>
      <c r="B22" s="6" t="s">
        <v>54</v>
      </c>
      <c r="C22" s="6" t="s">
        <v>35</v>
      </c>
      <c r="D22" s="6" t="s">
        <v>36</v>
      </c>
      <c r="E22" s="6" t="s">
        <v>50</v>
      </c>
      <c r="F22" s="6" t="s">
        <v>16</v>
      </c>
      <c r="G22" s="6" t="n">
        <v>8</v>
      </c>
      <c r="H22" s="6" t="s">
        <v>17</v>
      </c>
      <c r="I22" s="6" t="s">
        <v>55</v>
      </c>
    </row>
    <row r="23" customFormat="false" ht="15" hidden="false" customHeight="false" outlineLevel="0" collapsed="false">
      <c r="A23" s="6" t="n">
        <v>17</v>
      </c>
      <c r="B23" s="6" t="s">
        <v>56</v>
      </c>
      <c r="C23" s="6" t="s">
        <v>35</v>
      </c>
      <c r="D23" s="6" t="s">
        <v>36</v>
      </c>
      <c r="E23" s="6" t="s">
        <v>50</v>
      </c>
      <c r="F23" s="6" t="s">
        <v>16</v>
      </c>
      <c r="G23" s="6" t="n">
        <v>3</v>
      </c>
      <c r="H23" s="6" t="s">
        <v>17</v>
      </c>
      <c r="I23" s="6" t="s">
        <v>57</v>
      </c>
    </row>
    <row r="24" customFormat="false" ht="15" hidden="false" customHeight="false" outlineLevel="0" collapsed="false">
      <c r="A24" s="6" t="n">
        <v>18</v>
      </c>
      <c r="B24" s="6" t="s">
        <v>58</v>
      </c>
      <c r="C24" s="6" t="s">
        <v>35</v>
      </c>
      <c r="D24" s="6" t="s">
        <v>36</v>
      </c>
      <c r="E24" s="6" t="s">
        <v>59</v>
      </c>
      <c r="F24" s="6" t="s">
        <v>16</v>
      </c>
      <c r="G24" s="6" t="n">
        <v>6</v>
      </c>
      <c r="H24" s="6" t="s">
        <v>17</v>
      </c>
      <c r="I24" s="6" t="s">
        <v>60</v>
      </c>
    </row>
    <row r="25" customFormat="false" ht="15" hidden="false" customHeight="false" outlineLevel="0" collapsed="false">
      <c r="A25" s="6" t="n">
        <v>19</v>
      </c>
      <c r="B25" s="6" t="s">
        <v>61</v>
      </c>
      <c r="C25" s="6" t="s">
        <v>35</v>
      </c>
      <c r="D25" s="6" t="s">
        <v>36</v>
      </c>
      <c r="E25" s="6" t="s">
        <v>59</v>
      </c>
      <c r="F25" s="6" t="s">
        <v>16</v>
      </c>
      <c r="G25" s="6" t="n">
        <v>3</v>
      </c>
      <c r="H25" s="6" t="s">
        <v>17</v>
      </c>
      <c r="I25" s="6" t="s">
        <v>62</v>
      </c>
    </row>
    <row r="26" customFormat="false" ht="15" hidden="false" customHeight="false" outlineLevel="0" collapsed="false">
      <c r="A26" s="6" t="n">
        <v>20</v>
      </c>
      <c r="B26" s="6" t="s">
        <v>63</v>
      </c>
      <c r="C26" s="6" t="s">
        <v>35</v>
      </c>
      <c r="D26" s="6" t="s">
        <v>36</v>
      </c>
      <c r="E26" s="6" t="s">
        <v>15</v>
      </c>
      <c r="F26" s="6" t="s">
        <v>16</v>
      </c>
      <c r="G26" s="6" t="n">
        <v>4</v>
      </c>
      <c r="H26" s="6" t="s">
        <v>17</v>
      </c>
      <c r="I26" s="6" t="s">
        <v>64</v>
      </c>
    </row>
    <row r="27" customFormat="false" ht="15" hidden="false" customHeight="false" outlineLevel="0" collapsed="false">
      <c r="A27" s="7" t="n">
        <v>21</v>
      </c>
      <c r="B27" s="7" t="s">
        <v>65</v>
      </c>
      <c r="C27" s="7" t="s">
        <v>35</v>
      </c>
      <c r="D27" s="7" t="s">
        <v>66</v>
      </c>
      <c r="E27" s="7" t="s">
        <v>15</v>
      </c>
      <c r="F27" s="7" t="s">
        <v>16</v>
      </c>
      <c r="G27" s="7" t="n">
        <v>2</v>
      </c>
      <c r="H27" s="7" t="s">
        <v>17</v>
      </c>
      <c r="I27" s="7" t="s">
        <v>67</v>
      </c>
    </row>
    <row r="28" customFormat="false" ht="23.85" hidden="false" customHeight="false" outlineLevel="0" collapsed="false">
      <c r="A28" s="7" t="n">
        <v>22</v>
      </c>
      <c r="B28" s="7" t="s">
        <v>68</v>
      </c>
      <c r="C28" s="7" t="s">
        <v>35</v>
      </c>
      <c r="D28" s="7" t="s">
        <v>66</v>
      </c>
      <c r="E28" s="7" t="s">
        <v>50</v>
      </c>
      <c r="F28" s="7" t="s">
        <v>16</v>
      </c>
      <c r="G28" s="7" t="n">
        <v>8</v>
      </c>
      <c r="H28" s="7" t="s">
        <v>17</v>
      </c>
      <c r="I28" s="7" t="s">
        <v>69</v>
      </c>
    </row>
    <row r="29" customFormat="false" ht="15" hidden="false" customHeight="false" outlineLevel="0" collapsed="false">
      <c r="A29" s="7" t="n">
        <v>23</v>
      </c>
      <c r="B29" s="7" t="s">
        <v>70</v>
      </c>
      <c r="C29" s="7" t="s">
        <v>35</v>
      </c>
      <c r="D29" s="7" t="s">
        <v>66</v>
      </c>
      <c r="E29" s="7" t="s">
        <v>15</v>
      </c>
      <c r="F29" s="7" t="s">
        <v>16</v>
      </c>
      <c r="G29" s="7" t="n">
        <v>2</v>
      </c>
      <c r="H29" s="7" t="s">
        <v>17</v>
      </c>
      <c r="I29" s="7" t="s">
        <v>71</v>
      </c>
    </row>
    <row r="30" customFormat="false" ht="15" hidden="false" customHeight="false" outlineLevel="0" collapsed="false">
      <c r="A30" s="7" t="n">
        <v>24</v>
      </c>
      <c r="B30" s="7" t="s">
        <v>72</v>
      </c>
      <c r="C30" s="7" t="s">
        <v>35</v>
      </c>
      <c r="D30" s="7" t="s">
        <v>66</v>
      </c>
      <c r="E30" s="7" t="s">
        <v>50</v>
      </c>
      <c r="F30" s="7" t="s">
        <v>16</v>
      </c>
      <c r="G30" s="7" t="n">
        <v>10</v>
      </c>
      <c r="H30" s="7" t="s">
        <v>17</v>
      </c>
      <c r="I30" s="7" t="s">
        <v>73</v>
      </c>
    </row>
    <row r="31" customFormat="false" ht="15" hidden="false" customHeight="false" outlineLevel="0" collapsed="false">
      <c r="A31" s="4" t="s">
        <v>74</v>
      </c>
      <c r="B31" s="4"/>
      <c r="C31" s="4"/>
      <c r="D31" s="4"/>
      <c r="E31" s="4"/>
      <c r="F31" s="4"/>
      <c r="G31" s="4"/>
      <c r="H31" s="4"/>
      <c r="I31" s="4"/>
    </row>
    <row r="32" customFormat="false" ht="15" hidden="false" customHeight="false" outlineLevel="0" collapsed="false">
      <c r="A32" s="5" t="n">
        <v>25</v>
      </c>
      <c r="B32" s="5" t="s">
        <v>75</v>
      </c>
      <c r="C32" s="5" t="s">
        <v>76</v>
      </c>
      <c r="D32" s="5" t="s">
        <v>14</v>
      </c>
      <c r="E32" s="5" t="s">
        <v>15</v>
      </c>
      <c r="F32" s="5" t="s">
        <v>16</v>
      </c>
      <c r="G32" s="5" t="n">
        <v>2</v>
      </c>
      <c r="H32" s="5" t="s">
        <v>77</v>
      </c>
      <c r="I32" s="5" t="s">
        <v>78</v>
      </c>
    </row>
    <row r="33" customFormat="false" ht="15" hidden="false" customHeight="false" outlineLevel="0" collapsed="false">
      <c r="A33" s="5" t="n">
        <v>26</v>
      </c>
      <c r="B33" s="5" t="s">
        <v>79</v>
      </c>
      <c r="C33" s="5" t="s">
        <v>76</v>
      </c>
      <c r="D33" s="5" t="s">
        <v>14</v>
      </c>
      <c r="E33" s="5" t="s">
        <v>15</v>
      </c>
      <c r="F33" s="5" t="s">
        <v>16</v>
      </c>
      <c r="G33" s="5" t="n">
        <v>1</v>
      </c>
      <c r="H33" s="5" t="s">
        <v>80</v>
      </c>
      <c r="I33" s="5" t="s">
        <v>81</v>
      </c>
    </row>
    <row r="34" customFormat="false" ht="15" hidden="false" customHeight="false" outlineLevel="0" collapsed="false">
      <c r="A34" s="5" t="n">
        <v>27</v>
      </c>
      <c r="B34" s="5" t="s">
        <v>82</v>
      </c>
      <c r="C34" s="5" t="s">
        <v>76</v>
      </c>
      <c r="D34" s="5" t="s">
        <v>14</v>
      </c>
      <c r="E34" s="5" t="s">
        <v>15</v>
      </c>
      <c r="F34" s="5" t="s">
        <v>16</v>
      </c>
      <c r="G34" s="5" t="n">
        <v>1</v>
      </c>
      <c r="H34" s="5" t="s">
        <v>17</v>
      </c>
      <c r="I34" s="5" t="s">
        <v>83</v>
      </c>
    </row>
    <row r="35" customFormat="false" ht="15" hidden="false" customHeight="false" outlineLevel="0" collapsed="false">
      <c r="A35" s="5" t="n">
        <v>28</v>
      </c>
      <c r="B35" s="5" t="s">
        <v>84</v>
      </c>
      <c r="C35" s="5" t="s">
        <v>76</v>
      </c>
      <c r="D35" s="5" t="s">
        <v>14</v>
      </c>
      <c r="E35" s="5" t="s">
        <v>50</v>
      </c>
      <c r="F35" s="5" t="s">
        <v>16</v>
      </c>
      <c r="G35" s="5" t="n">
        <v>2</v>
      </c>
      <c r="H35" s="5" t="s">
        <v>17</v>
      </c>
      <c r="I35" s="5" t="s">
        <v>85</v>
      </c>
    </row>
    <row r="36" customFormat="false" ht="15" hidden="false" customHeight="false" outlineLevel="0" collapsed="false">
      <c r="A36" s="6" t="n">
        <v>29</v>
      </c>
      <c r="B36" s="6" t="s">
        <v>86</v>
      </c>
      <c r="C36" s="6" t="s">
        <v>76</v>
      </c>
      <c r="D36" s="6" t="s">
        <v>36</v>
      </c>
      <c r="E36" s="6" t="s">
        <v>50</v>
      </c>
      <c r="F36" s="6" t="s">
        <v>16</v>
      </c>
      <c r="G36" s="6" t="n">
        <v>2</v>
      </c>
      <c r="H36" s="6" t="s">
        <v>17</v>
      </c>
      <c r="I36" s="6" t="s">
        <v>87</v>
      </c>
    </row>
    <row r="37" customFormat="false" ht="15" hidden="false" customHeight="false" outlineLevel="0" collapsed="false">
      <c r="A37" s="6" t="n">
        <v>30</v>
      </c>
      <c r="B37" s="6" t="s">
        <v>88</v>
      </c>
      <c r="C37" s="6" t="s">
        <v>76</v>
      </c>
      <c r="D37" s="6" t="s">
        <v>36</v>
      </c>
      <c r="E37" s="6" t="s">
        <v>50</v>
      </c>
      <c r="F37" s="6" t="s">
        <v>16</v>
      </c>
      <c r="G37" s="6" t="n">
        <v>1</v>
      </c>
      <c r="H37" s="6" t="s">
        <v>17</v>
      </c>
      <c r="I37" s="6" t="s">
        <v>89</v>
      </c>
    </row>
    <row r="38" customFormat="false" ht="15" hidden="false" customHeight="false" outlineLevel="0" collapsed="false">
      <c r="A38" s="5" t="n">
        <v>31</v>
      </c>
      <c r="B38" s="5" t="s">
        <v>90</v>
      </c>
      <c r="C38" s="5" t="s">
        <v>76</v>
      </c>
      <c r="D38" s="5" t="s">
        <v>14</v>
      </c>
      <c r="E38" s="5" t="s">
        <v>15</v>
      </c>
      <c r="F38" s="5" t="s">
        <v>16</v>
      </c>
      <c r="G38" s="5" t="n">
        <v>4</v>
      </c>
      <c r="H38" s="5" t="s">
        <v>17</v>
      </c>
      <c r="I38" s="5" t="s">
        <v>91</v>
      </c>
    </row>
    <row r="39" customFormat="false" ht="15" hidden="false" customHeight="false" outlineLevel="0" collapsed="false">
      <c r="A39" s="4" t="s">
        <v>92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false" outlineLevel="0" collapsed="false">
      <c r="A40" s="5" t="n">
        <v>32</v>
      </c>
      <c r="B40" s="5" t="s">
        <v>93</v>
      </c>
      <c r="C40" s="5" t="s">
        <v>94</v>
      </c>
      <c r="D40" s="5" t="s">
        <v>14</v>
      </c>
      <c r="E40" s="5" t="s">
        <v>15</v>
      </c>
      <c r="F40" s="5" t="s">
        <v>16</v>
      </c>
      <c r="G40" s="5" t="n">
        <v>2</v>
      </c>
      <c r="H40" s="5" t="s">
        <v>17</v>
      </c>
      <c r="I40" s="5" t="s">
        <v>95</v>
      </c>
    </row>
    <row r="41" customFormat="false" ht="15" hidden="false" customHeight="false" outlineLevel="0" collapsed="false">
      <c r="A41" s="6" t="n">
        <v>33</v>
      </c>
      <c r="B41" s="6" t="s">
        <v>96</v>
      </c>
      <c r="C41" s="6" t="s">
        <v>94</v>
      </c>
      <c r="D41" s="6" t="s">
        <v>36</v>
      </c>
      <c r="E41" s="6" t="s">
        <v>50</v>
      </c>
      <c r="F41" s="6" t="s">
        <v>16</v>
      </c>
      <c r="G41" s="6" t="n">
        <v>3</v>
      </c>
      <c r="H41" s="6" t="s">
        <v>17</v>
      </c>
      <c r="I41" s="6" t="s">
        <v>97</v>
      </c>
    </row>
    <row r="42" customFormat="false" ht="15" hidden="false" customHeight="false" outlineLevel="0" collapsed="false">
      <c r="A42" s="6" t="n">
        <v>34</v>
      </c>
      <c r="B42" s="6" t="s">
        <v>98</v>
      </c>
      <c r="C42" s="6" t="s">
        <v>94</v>
      </c>
      <c r="D42" s="6" t="s">
        <v>36</v>
      </c>
      <c r="E42" s="6" t="s">
        <v>15</v>
      </c>
      <c r="F42" s="6" t="s">
        <v>16</v>
      </c>
      <c r="G42" s="6" t="n">
        <v>12</v>
      </c>
      <c r="H42" s="6" t="s">
        <v>17</v>
      </c>
      <c r="I42" s="6" t="s">
        <v>99</v>
      </c>
    </row>
    <row r="43" customFormat="false" ht="15" hidden="false" customHeight="false" outlineLevel="0" collapsed="false">
      <c r="A43" s="7" t="n">
        <v>35</v>
      </c>
      <c r="B43" s="7" t="s">
        <v>100</v>
      </c>
      <c r="C43" s="7" t="s">
        <v>94</v>
      </c>
      <c r="D43" s="7" t="s">
        <v>66</v>
      </c>
      <c r="E43" s="7" t="s">
        <v>50</v>
      </c>
      <c r="F43" s="7" t="s">
        <v>16</v>
      </c>
      <c r="G43" s="7" t="n">
        <v>6</v>
      </c>
      <c r="H43" s="7" t="s">
        <v>17</v>
      </c>
      <c r="I43" s="7" t="s">
        <v>101</v>
      </c>
    </row>
    <row r="44" customFormat="false" ht="15" hidden="false" customHeight="false" outlineLevel="0" collapsed="false">
      <c r="A44" s="7" t="n">
        <v>36</v>
      </c>
      <c r="B44" s="7" t="s">
        <v>102</v>
      </c>
      <c r="C44" s="7" t="s">
        <v>94</v>
      </c>
      <c r="D44" s="7" t="s">
        <v>66</v>
      </c>
      <c r="E44" s="7" t="s">
        <v>15</v>
      </c>
      <c r="F44" s="7" t="s">
        <v>16</v>
      </c>
      <c r="G44" s="7" t="n">
        <v>4</v>
      </c>
      <c r="H44" s="7" t="s">
        <v>17</v>
      </c>
      <c r="I44" s="7" t="s">
        <v>103</v>
      </c>
    </row>
    <row r="45" customFormat="false" ht="15" hidden="false" customHeight="false" outlineLevel="0" collapsed="false">
      <c r="A45" s="7" t="n">
        <v>37</v>
      </c>
      <c r="B45" s="7" t="s">
        <v>104</v>
      </c>
      <c r="C45" s="7" t="s">
        <v>94</v>
      </c>
      <c r="D45" s="7" t="s">
        <v>66</v>
      </c>
      <c r="E45" s="7" t="s">
        <v>15</v>
      </c>
      <c r="F45" s="7" t="s">
        <v>16</v>
      </c>
      <c r="G45" s="7" t="n">
        <v>4</v>
      </c>
      <c r="H45" s="7" t="s">
        <v>17</v>
      </c>
      <c r="I45" s="7" t="s">
        <v>105</v>
      </c>
    </row>
    <row r="46" customFormat="false" ht="15" hidden="false" customHeight="false" outlineLevel="0" collapsed="false">
      <c r="A46" s="7" t="n">
        <v>38</v>
      </c>
      <c r="B46" s="7" t="s">
        <v>106</v>
      </c>
      <c r="C46" s="7" t="s">
        <v>94</v>
      </c>
      <c r="D46" s="7" t="s">
        <v>66</v>
      </c>
      <c r="E46" s="7" t="s">
        <v>15</v>
      </c>
      <c r="F46" s="7" t="s">
        <v>16</v>
      </c>
      <c r="G46" s="7" t="n">
        <v>16</v>
      </c>
      <c r="H46" s="7" t="s">
        <v>17</v>
      </c>
      <c r="I46" s="7" t="s">
        <v>107</v>
      </c>
    </row>
    <row r="47" customFormat="false" ht="15" hidden="false" customHeight="false" outlineLevel="0" collapsed="false">
      <c r="A47" s="8" t="n">
        <v>39</v>
      </c>
      <c r="B47" s="8" t="s">
        <v>108</v>
      </c>
      <c r="C47" s="8" t="s">
        <v>94</v>
      </c>
      <c r="D47" s="8" t="s">
        <v>109</v>
      </c>
      <c r="E47" s="8" t="s">
        <v>50</v>
      </c>
      <c r="F47" s="8" t="s">
        <v>16</v>
      </c>
      <c r="G47" s="8" t="n">
        <v>6</v>
      </c>
      <c r="H47" s="8" t="s">
        <v>17</v>
      </c>
      <c r="I47" s="8" t="s">
        <v>110</v>
      </c>
    </row>
    <row r="48" customFormat="false" ht="15" hidden="false" customHeight="false" outlineLevel="0" collapsed="false">
      <c r="A48" s="8" t="n">
        <v>40</v>
      </c>
      <c r="B48" s="8" t="s">
        <v>111</v>
      </c>
      <c r="C48" s="8" t="s">
        <v>94</v>
      </c>
      <c r="D48" s="8" t="s">
        <v>109</v>
      </c>
      <c r="E48" s="8" t="s">
        <v>50</v>
      </c>
      <c r="F48" s="8" t="s">
        <v>16</v>
      </c>
      <c r="G48" s="8" t="n">
        <v>3</v>
      </c>
      <c r="H48" s="8" t="s">
        <v>17</v>
      </c>
      <c r="I48" s="8" t="s">
        <v>112</v>
      </c>
    </row>
    <row r="49" customFormat="false" ht="15" hidden="false" customHeight="false" outlineLevel="0" collapsed="false">
      <c r="A49" s="8" t="n">
        <v>41</v>
      </c>
      <c r="B49" s="8" t="s">
        <v>113</v>
      </c>
      <c r="C49" s="8" t="s">
        <v>94</v>
      </c>
      <c r="D49" s="8" t="s">
        <v>109</v>
      </c>
      <c r="E49" s="8" t="s">
        <v>15</v>
      </c>
      <c r="F49" s="8" t="s">
        <v>16</v>
      </c>
      <c r="G49" s="8" t="n">
        <v>8</v>
      </c>
      <c r="H49" s="8" t="s">
        <v>17</v>
      </c>
      <c r="I49" s="8" t="s">
        <v>114</v>
      </c>
    </row>
    <row r="51" customFormat="false" ht="15" hidden="false" customHeight="false" outlineLevel="0" collapsed="false">
      <c r="F51" s="9" t="s">
        <v>115</v>
      </c>
      <c r="G51" s="9" t="n">
        <f aca="false">SUM(G5:G49)</f>
        <v>210</v>
      </c>
    </row>
  </sheetData>
  <autoFilter ref="A4:I49"/>
  <mergeCells count="4">
    <mergeCell ref="A5:I5"/>
    <mergeCell ref="A13:I13"/>
    <mergeCell ref="A31:I31"/>
    <mergeCell ref="A39:I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55"/>
    <col collapsed="false" customWidth="true" hidden="false" outlineLevel="0" max="5" min="5" style="0" width="45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117</v>
      </c>
    </row>
    <row r="4" customFormat="false" ht="15" hidden="false" customHeight="false" outlineLevel="0" collapsed="false">
      <c r="A4" s="3" t="s">
        <v>118</v>
      </c>
      <c r="B4" s="3" t="s">
        <v>119</v>
      </c>
      <c r="C4" s="3" t="s">
        <v>120</v>
      </c>
      <c r="D4" s="3" t="s">
        <v>121</v>
      </c>
      <c r="E4" s="3" t="s">
        <v>122</v>
      </c>
      <c r="F4" s="3" t="s">
        <v>123</v>
      </c>
    </row>
    <row r="5" customFormat="false" ht="23.85" hidden="false" customHeight="false" outlineLevel="0" collapsed="false">
      <c r="A5" s="10" t="s">
        <v>124</v>
      </c>
      <c r="B5" s="10" t="s">
        <v>125</v>
      </c>
      <c r="C5" s="10" t="s">
        <v>126</v>
      </c>
      <c r="D5" s="10" t="s">
        <v>127</v>
      </c>
      <c r="E5" s="10" t="s">
        <v>128</v>
      </c>
      <c r="F5" s="10" t="s">
        <v>129</v>
      </c>
    </row>
    <row r="6" customFormat="false" ht="23.85" hidden="false" customHeight="false" outlineLevel="0" collapsed="false">
      <c r="A6" s="10" t="s">
        <v>130</v>
      </c>
      <c r="B6" s="10" t="s">
        <v>131</v>
      </c>
      <c r="C6" s="10" t="s">
        <v>126</v>
      </c>
      <c r="D6" s="10" t="s">
        <v>132</v>
      </c>
      <c r="E6" s="10" t="s">
        <v>133</v>
      </c>
      <c r="F6" s="10" t="s">
        <v>134</v>
      </c>
    </row>
    <row r="7" customFormat="false" ht="23.85" hidden="false" customHeight="false" outlineLevel="0" collapsed="false">
      <c r="A7" s="10" t="s">
        <v>135</v>
      </c>
      <c r="B7" s="10" t="s">
        <v>136</v>
      </c>
      <c r="C7" s="10" t="s">
        <v>137</v>
      </c>
      <c r="D7" s="10" t="s">
        <v>138</v>
      </c>
      <c r="E7" s="10" t="s">
        <v>139</v>
      </c>
      <c r="F7" s="10" t="s">
        <v>140</v>
      </c>
    </row>
    <row r="8" customFormat="false" ht="23.85" hidden="false" customHeight="false" outlineLevel="0" collapsed="false">
      <c r="A8" s="10" t="s">
        <v>141</v>
      </c>
      <c r="B8" s="10" t="s">
        <v>142</v>
      </c>
      <c r="C8" s="10" t="s">
        <v>137</v>
      </c>
      <c r="D8" s="10" t="s">
        <v>143</v>
      </c>
      <c r="E8" s="10" t="s">
        <v>144</v>
      </c>
      <c r="F8" s="10" t="s">
        <v>145</v>
      </c>
    </row>
    <row r="9" customFormat="false" ht="15" hidden="false" customHeight="false" outlineLevel="0" collapsed="false">
      <c r="A9" s="10" t="s">
        <v>146</v>
      </c>
      <c r="B9" s="10" t="s">
        <v>147</v>
      </c>
      <c r="C9" s="10" t="s">
        <v>148</v>
      </c>
      <c r="D9" s="10" t="s">
        <v>149</v>
      </c>
      <c r="E9" s="10" t="s">
        <v>150</v>
      </c>
      <c r="F9" s="10" t="s">
        <v>151</v>
      </c>
    </row>
    <row r="10" customFormat="false" ht="15" hidden="false" customHeight="false" outlineLevel="0" collapsed="false">
      <c r="A10" s="10" t="s">
        <v>152</v>
      </c>
      <c r="B10" s="10" t="s">
        <v>153</v>
      </c>
      <c r="C10" s="10" t="s">
        <v>154</v>
      </c>
      <c r="D10" s="10" t="s">
        <v>155</v>
      </c>
      <c r="E10" s="10" t="s">
        <v>156</v>
      </c>
      <c r="F10" s="10" t="s">
        <v>157</v>
      </c>
    </row>
    <row r="11" customFormat="false" ht="23.85" hidden="false" customHeight="false" outlineLevel="0" collapsed="false">
      <c r="A11" s="10" t="s">
        <v>158</v>
      </c>
      <c r="B11" s="10" t="s">
        <v>159</v>
      </c>
      <c r="C11" s="10" t="s">
        <v>154</v>
      </c>
      <c r="D11" s="10" t="s">
        <v>160</v>
      </c>
      <c r="E11" s="10" t="s">
        <v>161</v>
      </c>
      <c r="F11" s="10" t="s">
        <v>162</v>
      </c>
    </row>
    <row r="12" customFormat="false" ht="15" hidden="false" customHeight="false" outlineLevel="0" collapsed="false">
      <c r="A12" s="10" t="s">
        <v>163</v>
      </c>
      <c r="B12" s="10" t="s">
        <v>164</v>
      </c>
      <c r="C12" s="10" t="s">
        <v>165</v>
      </c>
      <c r="D12" s="10" t="s">
        <v>166</v>
      </c>
      <c r="E12" s="10" t="s">
        <v>167</v>
      </c>
      <c r="F12" s="10" t="s">
        <v>168</v>
      </c>
    </row>
    <row r="13" customFormat="false" ht="23.85" hidden="false" customHeight="false" outlineLevel="0" collapsed="false">
      <c r="A13" s="8" t="s">
        <v>169</v>
      </c>
      <c r="B13" s="8" t="s">
        <v>170</v>
      </c>
      <c r="C13" s="8" t="s">
        <v>171</v>
      </c>
      <c r="D13" s="8" t="s">
        <v>172</v>
      </c>
      <c r="E13" s="8" t="s">
        <v>173</v>
      </c>
      <c r="F13" s="8" t="s">
        <v>174</v>
      </c>
    </row>
    <row r="14" customFormat="false" ht="15" hidden="false" customHeight="false" outlineLevel="0" collapsed="false">
      <c r="A14" s="10" t="s">
        <v>175</v>
      </c>
      <c r="B14" s="10" t="s">
        <v>176</v>
      </c>
      <c r="C14" s="10" t="s">
        <v>94</v>
      </c>
      <c r="D14" s="10" t="s">
        <v>177</v>
      </c>
      <c r="E14" s="10" t="s">
        <v>178</v>
      </c>
      <c r="F14" s="10" t="s">
        <v>179</v>
      </c>
    </row>
    <row r="15" customFormat="false" ht="15" hidden="false" customHeight="false" outlineLevel="0" collapsed="false">
      <c r="A15" s="10" t="s">
        <v>180</v>
      </c>
      <c r="B15" s="10" t="s">
        <v>181</v>
      </c>
      <c r="C15" s="10" t="s">
        <v>94</v>
      </c>
      <c r="D15" s="10" t="s">
        <v>182</v>
      </c>
      <c r="E15" s="10" t="s">
        <v>183</v>
      </c>
      <c r="F15" s="10" t="s">
        <v>184</v>
      </c>
    </row>
    <row r="16" customFormat="false" ht="15" hidden="false" customHeight="false" outlineLevel="0" collapsed="false">
      <c r="A16" s="10" t="s">
        <v>185</v>
      </c>
      <c r="B16" s="10" t="s">
        <v>186</v>
      </c>
      <c r="C16" s="10" t="s">
        <v>94</v>
      </c>
      <c r="D16" s="10" t="s">
        <v>187</v>
      </c>
      <c r="E16" s="10" t="s">
        <v>188</v>
      </c>
      <c r="F16" s="10" t="s">
        <v>189</v>
      </c>
    </row>
    <row r="17" customFormat="false" ht="15" hidden="false" customHeight="false" outlineLevel="0" collapsed="false">
      <c r="A17" s="10" t="s">
        <v>190</v>
      </c>
      <c r="B17" s="10" t="s">
        <v>191</v>
      </c>
      <c r="C17" s="10" t="s">
        <v>94</v>
      </c>
      <c r="D17" s="10" t="s">
        <v>192</v>
      </c>
      <c r="E17" s="10" t="s">
        <v>193</v>
      </c>
      <c r="F17" s="10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5"/>
    <col collapsed="false" customWidth="true" hidden="false" outlineLevel="0" max="4" min="4" style="0" width="30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195</v>
      </c>
    </row>
    <row r="3" customFormat="false" ht="15" hidden="false" customHeight="false" outlineLevel="0" collapsed="false">
      <c r="A3" s="3" t="s">
        <v>196</v>
      </c>
      <c r="B3" s="3" t="s">
        <v>197</v>
      </c>
      <c r="C3" s="3" t="s">
        <v>198</v>
      </c>
      <c r="D3" s="3" t="s">
        <v>199</v>
      </c>
      <c r="E3" s="3" t="s">
        <v>10</v>
      </c>
    </row>
    <row r="4" customFormat="false" ht="15" hidden="false" customHeight="false" outlineLevel="0" collapsed="false">
      <c r="A4" s="4" t="s">
        <v>200</v>
      </c>
      <c r="B4" s="4"/>
      <c r="C4" s="4"/>
      <c r="D4" s="4"/>
      <c r="E4" s="4"/>
    </row>
    <row r="5" customFormat="false" ht="23.85" hidden="false" customHeight="false" outlineLevel="0" collapsed="false">
      <c r="A5" s="10" t="s">
        <v>201</v>
      </c>
      <c r="B5" s="10" t="n">
        <v>10</v>
      </c>
      <c r="C5" s="10" t="n">
        <v>15</v>
      </c>
      <c r="D5" s="10" t="s">
        <v>202</v>
      </c>
      <c r="E5" s="10" t="s">
        <v>203</v>
      </c>
    </row>
    <row r="6" customFormat="false" ht="15" hidden="false" customHeight="false" outlineLevel="0" collapsed="false">
      <c r="A6" s="10" t="s">
        <v>204</v>
      </c>
      <c r="B6" s="10" t="n">
        <v>0</v>
      </c>
      <c r="C6" s="10" t="n">
        <v>0</v>
      </c>
      <c r="D6" s="10" t="s">
        <v>205</v>
      </c>
      <c r="E6" s="10" t="s">
        <v>206</v>
      </c>
    </row>
    <row r="7" customFormat="false" ht="15" hidden="false" customHeight="false" outlineLevel="0" collapsed="false">
      <c r="A7" s="10" t="s">
        <v>207</v>
      </c>
      <c r="B7" s="10" t="s">
        <v>208</v>
      </c>
      <c r="C7" s="10" t="s">
        <v>208</v>
      </c>
      <c r="D7" s="10" t="s">
        <v>209</v>
      </c>
      <c r="E7" s="10" t="s">
        <v>210</v>
      </c>
    </row>
    <row r="8" customFormat="false" ht="15" hidden="false" customHeight="false" outlineLevel="0" collapsed="false">
      <c r="A8" s="10" t="s">
        <v>211</v>
      </c>
      <c r="B8" s="10" t="s">
        <v>212</v>
      </c>
      <c r="C8" s="10" t="s">
        <v>213</v>
      </c>
      <c r="D8" s="10" t="s">
        <v>214</v>
      </c>
      <c r="E8" s="10" t="s">
        <v>215</v>
      </c>
    </row>
    <row r="9" customFormat="false" ht="15" hidden="false" customHeight="false" outlineLevel="0" collapsed="false">
      <c r="A9" s="10" t="s">
        <v>216</v>
      </c>
      <c r="B9" s="10" t="s">
        <v>217</v>
      </c>
      <c r="C9" s="10" t="s">
        <v>218</v>
      </c>
      <c r="D9" s="10" t="s">
        <v>219</v>
      </c>
      <c r="E9" s="10" t="s">
        <v>220</v>
      </c>
    </row>
    <row r="10" customFormat="false" ht="15" hidden="false" customHeight="false" outlineLevel="0" collapsed="false">
      <c r="A10" s="4" t="s">
        <v>221</v>
      </c>
      <c r="B10" s="4"/>
      <c r="C10" s="4"/>
      <c r="D10" s="4"/>
      <c r="E10" s="4"/>
    </row>
    <row r="11" customFormat="false" ht="15" hidden="false" customHeight="false" outlineLevel="0" collapsed="false">
      <c r="A11" s="10" t="s">
        <v>222</v>
      </c>
      <c r="B11" s="10" t="n">
        <v>25</v>
      </c>
      <c r="C11" s="10" t="n">
        <v>50</v>
      </c>
      <c r="D11" s="10" t="s">
        <v>223</v>
      </c>
      <c r="E11" s="10" t="s">
        <v>224</v>
      </c>
    </row>
    <row r="12" customFormat="false" ht="15" hidden="false" customHeight="false" outlineLevel="0" collapsed="false">
      <c r="A12" s="10" t="s">
        <v>225</v>
      </c>
      <c r="B12" s="10" t="n">
        <v>3</v>
      </c>
      <c r="C12" s="10" t="n">
        <v>8</v>
      </c>
      <c r="D12" s="10" t="s">
        <v>226</v>
      </c>
      <c r="E12" s="10" t="s">
        <v>227</v>
      </c>
    </row>
    <row r="13" customFormat="false" ht="15" hidden="false" customHeight="false" outlineLevel="0" collapsed="false">
      <c r="A13" s="10" t="s">
        <v>228</v>
      </c>
      <c r="B13" s="10" t="s">
        <v>229</v>
      </c>
      <c r="C13" s="10" t="s">
        <v>230</v>
      </c>
      <c r="D13" s="10" t="s">
        <v>231</v>
      </c>
      <c r="E13" s="10" t="s">
        <v>232</v>
      </c>
    </row>
    <row r="14" customFormat="false" ht="15" hidden="false" customHeight="false" outlineLevel="0" collapsed="false">
      <c r="A14" s="10" t="s">
        <v>233</v>
      </c>
      <c r="B14" s="10" t="s">
        <v>234</v>
      </c>
      <c r="C14" s="10" t="s">
        <v>208</v>
      </c>
      <c r="D14" s="10" t="s">
        <v>235</v>
      </c>
      <c r="E14" s="10" t="s">
        <v>236</v>
      </c>
    </row>
    <row r="15" customFormat="false" ht="15" hidden="false" customHeight="false" outlineLevel="0" collapsed="false">
      <c r="A15" s="10" t="s">
        <v>237</v>
      </c>
      <c r="B15" s="10" t="s">
        <v>238</v>
      </c>
      <c r="C15" s="10" t="s">
        <v>239</v>
      </c>
      <c r="D15" s="10" t="s">
        <v>240</v>
      </c>
      <c r="E15" s="10" t="s">
        <v>241</v>
      </c>
    </row>
    <row r="16" customFormat="false" ht="15" hidden="false" customHeight="false" outlineLevel="0" collapsed="false">
      <c r="A16" s="4" t="s">
        <v>242</v>
      </c>
      <c r="B16" s="4"/>
      <c r="C16" s="4"/>
      <c r="D16" s="4"/>
      <c r="E16" s="4"/>
    </row>
    <row r="17" customFormat="false" ht="15" hidden="false" customHeight="false" outlineLevel="0" collapsed="false">
      <c r="A17" s="10" t="s">
        <v>243</v>
      </c>
      <c r="B17" s="10" t="n">
        <v>40</v>
      </c>
      <c r="C17" s="10" t="n">
        <v>75</v>
      </c>
      <c r="D17" s="10" t="s">
        <v>244</v>
      </c>
      <c r="E17" s="10" t="s">
        <v>245</v>
      </c>
    </row>
    <row r="18" customFormat="false" ht="15" hidden="false" customHeight="false" outlineLevel="0" collapsed="false">
      <c r="A18" s="10" t="s">
        <v>246</v>
      </c>
      <c r="B18" s="10" t="n">
        <v>8</v>
      </c>
      <c r="C18" s="10" t="n">
        <v>15</v>
      </c>
      <c r="D18" s="10" t="s">
        <v>247</v>
      </c>
      <c r="E18" s="10" t="s">
        <v>248</v>
      </c>
    </row>
    <row r="19" customFormat="false" ht="15" hidden="false" customHeight="false" outlineLevel="0" collapsed="false">
      <c r="A19" s="10" t="s">
        <v>249</v>
      </c>
      <c r="B19" s="10" t="s">
        <v>250</v>
      </c>
      <c r="C19" s="10" t="s">
        <v>251</v>
      </c>
      <c r="D19" s="10" t="s">
        <v>252</v>
      </c>
      <c r="E19" s="10" t="s">
        <v>253</v>
      </c>
    </row>
    <row r="20" customFormat="false" ht="15" hidden="false" customHeight="false" outlineLevel="0" collapsed="false">
      <c r="A20" s="10" t="s">
        <v>254</v>
      </c>
      <c r="B20" s="10" t="s">
        <v>255</v>
      </c>
      <c r="C20" s="10" t="s">
        <v>256</v>
      </c>
      <c r="D20" s="10" t="s">
        <v>257</v>
      </c>
      <c r="E20" s="10" t="s">
        <v>258</v>
      </c>
    </row>
    <row r="21" customFormat="false" ht="15" hidden="false" customHeight="false" outlineLevel="0" collapsed="false">
      <c r="A21" s="10" t="s">
        <v>259</v>
      </c>
      <c r="B21" s="10" t="s">
        <v>260</v>
      </c>
      <c r="C21" s="10" t="s">
        <v>261</v>
      </c>
      <c r="D21" s="10" t="s">
        <v>262</v>
      </c>
      <c r="E21" s="10" t="s">
        <v>263</v>
      </c>
    </row>
    <row r="22" customFormat="false" ht="15" hidden="false" customHeight="false" outlineLevel="0" collapsed="false">
      <c r="A22" s="4" t="s">
        <v>264</v>
      </c>
      <c r="B22" s="4"/>
      <c r="C22" s="4"/>
      <c r="D22" s="4"/>
      <c r="E22" s="4"/>
    </row>
    <row r="23" customFormat="false" ht="15" hidden="false" customHeight="false" outlineLevel="0" collapsed="false">
      <c r="A23" s="10" t="s">
        <v>265</v>
      </c>
      <c r="B23" s="10" t="n">
        <v>80</v>
      </c>
      <c r="C23" s="10" t="n">
        <v>150</v>
      </c>
      <c r="D23" s="10" t="s">
        <v>244</v>
      </c>
      <c r="E23" s="10" t="s">
        <v>266</v>
      </c>
    </row>
    <row r="24" customFormat="false" ht="15" hidden="false" customHeight="false" outlineLevel="0" collapsed="false">
      <c r="A24" s="10" t="s">
        <v>246</v>
      </c>
      <c r="B24" s="10" t="n">
        <v>20</v>
      </c>
      <c r="C24" s="10" t="n">
        <v>40</v>
      </c>
      <c r="D24" s="10" t="s">
        <v>267</v>
      </c>
      <c r="E24" s="10" t="s">
        <v>268</v>
      </c>
    </row>
    <row r="25" customFormat="false" ht="15" hidden="false" customHeight="false" outlineLevel="0" collapsed="false">
      <c r="A25" s="10" t="s">
        <v>249</v>
      </c>
      <c r="B25" s="10" t="s">
        <v>269</v>
      </c>
      <c r="C25" s="10" t="s">
        <v>270</v>
      </c>
      <c r="D25" s="10" t="s">
        <v>267</v>
      </c>
      <c r="E25" s="10" t="s">
        <v>271</v>
      </c>
    </row>
    <row r="26" customFormat="false" ht="15" hidden="false" customHeight="false" outlineLevel="0" collapsed="false">
      <c r="A26" s="10" t="s">
        <v>272</v>
      </c>
      <c r="B26" s="10" t="s">
        <v>273</v>
      </c>
      <c r="C26" s="10" t="s">
        <v>274</v>
      </c>
      <c r="D26" s="10" t="s">
        <v>275</v>
      </c>
      <c r="E26" s="10" t="s">
        <v>276</v>
      </c>
    </row>
    <row r="27" customFormat="false" ht="15" hidden="false" customHeight="false" outlineLevel="0" collapsed="false">
      <c r="A27" s="10" t="s">
        <v>277</v>
      </c>
      <c r="B27" s="10" t="n">
        <v>5</v>
      </c>
      <c r="C27" s="10" t="n">
        <v>15</v>
      </c>
      <c r="D27" s="10" t="s">
        <v>278</v>
      </c>
      <c r="E27" s="10" t="s">
        <v>110</v>
      </c>
    </row>
    <row r="28" customFormat="false" ht="15" hidden="false" customHeight="false" outlineLevel="0" collapsed="false">
      <c r="A28" s="10" t="s">
        <v>279</v>
      </c>
      <c r="B28" s="10" t="n">
        <v>20</v>
      </c>
      <c r="C28" s="10" t="n">
        <v>30</v>
      </c>
      <c r="D28" s="10" t="s">
        <v>280</v>
      </c>
      <c r="E28" s="10" t="s">
        <v>281</v>
      </c>
    </row>
  </sheetData>
  <mergeCells count="4">
    <mergeCell ref="A4:E4"/>
    <mergeCell ref="A10:E10"/>
    <mergeCell ref="A16:E16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8" min="3" style="0" width="14"/>
  </cols>
  <sheetData>
    <row r="1" customFormat="false" ht="17.35" hidden="false" customHeight="false" outlineLevel="0" collapsed="false">
      <c r="A1" s="1" t="s">
        <v>282</v>
      </c>
    </row>
    <row r="3" customFormat="false" ht="15" hidden="false" customHeight="false" outlineLevel="0" collapsed="false">
      <c r="A3" s="11" t="s">
        <v>283</v>
      </c>
    </row>
    <row r="4" customFormat="false" ht="15" hidden="false" customHeight="false" outlineLevel="0" collapsed="false">
      <c r="A4" s="3" t="s">
        <v>284</v>
      </c>
      <c r="B4" s="3" t="s">
        <v>285</v>
      </c>
    </row>
    <row r="5" customFormat="false" ht="15" hidden="false" customHeight="false" outlineLevel="0" collapsed="false">
      <c r="A5" s="12" t="s">
        <v>286</v>
      </c>
      <c r="B5" s="13" t="n">
        <v>0</v>
      </c>
    </row>
    <row r="6" customFormat="false" ht="15" hidden="false" customHeight="false" outlineLevel="0" collapsed="false">
      <c r="A6" s="12" t="s">
        <v>287</v>
      </c>
      <c r="B6" s="13" t="n">
        <v>29</v>
      </c>
    </row>
    <row r="7" customFormat="false" ht="15" hidden="false" customHeight="false" outlineLevel="0" collapsed="false">
      <c r="A7" s="12" t="s">
        <v>288</v>
      </c>
      <c r="B7" s="13" t="n">
        <v>79</v>
      </c>
    </row>
    <row r="8" customFormat="false" ht="15" hidden="false" customHeight="false" outlineLevel="0" collapsed="false">
      <c r="A8" s="12" t="s">
        <v>289</v>
      </c>
      <c r="B8" s="13" t="n">
        <v>199</v>
      </c>
    </row>
    <row r="11" customFormat="false" ht="15" hidden="false" customHeight="false" outlineLevel="0" collapsed="false">
      <c r="A11" s="11" t="s">
        <v>290</v>
      </c>
    </row>
    <row r="12" customFormat="false" ht="26.85" hidden="false" customHeight="false" outlineLevel="0" collapsed="false">
      <c r="A12" s="3"/>
      <c r="B12" s="3" t="s">
        <v>291</v>
      </c>
      <c r="C12" s="3" t="s">
        <v>292</v>
      </c>
      <c r="D12" s="3" t="s">
        <v>293</v>
      </c>
      <c r="E12" s="3" t="s">
        <v>294</v>
      </c>
      <c r="F12" s="3" t="s">
        <v>295</v>
      </c>
      <c r="G12" s="3" t="s">
        <v>296</v>
      </c>
      <c r="H12" s="3" t="s">
        <v>297</v>
      </c>
    </row>
    <row r="13" customFormat="false" ht="15" hidden="false" customHeight="false" outlineLevel="0" collapsed="false">
      <c r="A13" s="12" t="s">
        <v>286</v>
      </c>
      <c r="B13" s="14" t="s">
        <v>298</v>
      </c>
      <c r="C13" s="15" t="n">
        <v>5</v>
      </c>
      <c r="D13" s="15" t="n">
        <v>10</v>
      </c>
      <c r="E13" s="15" t="n">
        <v>15</v>
      </c>
      <c r="F13" s="15" t="n">
        <v>20</v>
      </c>
      <c r="G13" s="15" t="n">
        <v>25</v>
      </c>
      <c r="H13" s="15" t="n">
        <v>30</v>
      </c>
    </row>
    <row r="14" customFormat="false" ht="15" hidden="false" customHeight="false" outlineLevel="0" collapsed="false">
      <c r="A14" s="12" t="s">
        <v>287</v>
      </c>
      <c r="B14" s="14" t="s">
        <v>298</v>
      </c>
      <c r="C14" s="15" t="n">
        <v>1</v>
      </c>
      <c r="D14" s="15" t="n">
        <v>2</v>
      </c>
      <c r="E14" s="15" t="n">
        <v>4</v>
      </c>
      <c r="F14" s="15" t="n">
        <v>6</v>
      </c>
      <c r="G14" s="15" t="n">
        <v>8</v>
      </c>
      <c r="H14" s="15" t="n">
        <v>10</v>
      </c>
    </row>
    <row r="15" customFormat="false" ht="15" hidden="false" customHeight="false" outlineLevel="0" collapsed="false">
      <c r="A15" s="12" t="s">
        <v>288</v>
      </c>
      <c r="B15" s="14" t="s">
        <v>298</v>
      </c>
      <c r="C15" s="15" t="n">
        <v>0</v>
      </c>
      <c r="D15" s="15" t="n">
        <v>1</v>
      </c>
      <c r="E15" s="15" t="n">
        <v>1</v>
      </c>
      <c r="F15" s="15" t="n">
        <v>2</v>
      </c>
      <c r="G15" s="15" t="n">
        <v>3</v>
      </c>
      <c r="H15" s="15" t="n">
        <v>4</v>
      </c>
    </row>
    <row r="16" customFormat="false" ht="15" hidden="false" customHeight="false" outlineLevel="0" collapsed="false">
      <c r="A16" s="12" t="s">
        <v>289</v>
      </c>
      <c r="B16" s="14" t="s">
        <v>298</v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1</v>
      </c>
    </row>
    <row r="17" customFormat="false" ht="15" hidden="false" customHeight="false" outlineLevel="0" collapsed="false">
      <c r="A17" s="16"/>
      <c r="B17" s="17" t="s">
        <v>249</v>
      </c>
      <c r="C17" s="18" t="n">
        <f aca="false">C13*$B$5+C14*$B$6+C15*$B$7+C16*$B$8</f>
        <v>29</v>
      </c>
      <c r="D17" s="18" t="n">
        <f aca="false">D13*$B$5+D14*$B$6+D15*$B$7+D16*$B$8</f>
        <v>137</v>
      </c>
      <c r="E17" s="18" t="n">
        <f aca="false">E13*$B$5+E14*$B$6+E15*$B$7+E16*$B$8</f>
        <v>195</v>
      </c>
      <c r="F17" s="18" t="n">
        <f aca="false">F13*$B$5+F14*$B$6+F15*$B$7+F16*$B$8</f>
        <v>332</v>
      </c>
      <c r="G17" s="18" t="n">
        <f aca="false">G13*$B$5+G14*$B$6+G15*$B$7+G16*$B$8</f>
        <v>469</v>
      </c>
      <c r="H17" s="18" t="n">
        <f aca="false">H13*$B$5+H14*$B$6+H15*$B$7+H16*$B$8</f>
        <v>805</v>
      </c>
    </row>
    <row r="18" customFormat="false" ht="15" hidden="false" customHeight="false" outlineLevel="0" collapsed="false">
      <c r="A18" s="16"/>
      <c r="B18" s="17" t="s">
        <v>299</v>
      </c>
      <c r="C18" s="19" t="n">
        <f aca="false">SUM(C13:C16)</f>
        <v>6</v>
      </c>
      <c r="D18" s="19" t="n">
        <f aca="false">SUM(D13:D16)</f>
        <v>13</v>
      </c>
      <c r="E18" s="19" t="n">
        <f aca="false">SUM(E13:E16)</f>
        <v>20</v>
      </c>
      <c r="F18" s="19" t="n">
        <f aca="false">SUM(F13:F16)</f>
        <v>28</v>
      </c>
      <c r="G18" s="19" t="n">
        <f aca="false">SUM(G13:G16)</f>
        <v>36</v>
      </c>
      <c r="H18" s="19" t="n">
        <f aca="false">SUM(H13:H16)</f>
        <v>45</v>
      </c>
    </row>
    <row r="20" customFormat="false" ht="15" hidden="false" customHeight="false" outlineLevel="0" collapsed="false">
      <c r="A20" s="11" t="s">
        <v>300</v>
      </c>
    </row>
    <row r="21" customFormat="false" ht="26.85" hidden="false" customHeight="false" outlineLevel="0" collapsed="false">
      <c r="A21" s="3"/>
      <c r="B21" s="3" t="s">
        <v>291</v>
      </c>
      <c r="C21" s="3" t="s">
        <v>292</v>
      </c>
      <c r="D21" s="3" t="s">
        <v>293</v>
      </c>
      <c r="E21" s="3" t="s">
        <v>294</v>
      </c>
      <c r="F21" s="3" t="s">
        <v>295</v>
      </c>
      <c r="G21" s="3" t="s">
        <v>296</v>
      </c>
      <c r="H21" s="3" t="s">
        <v>297</v>
      </c>
    </row>
    <row r="22" customFormat="false" ht="15" hidden="false" customHeight="false" outlineLevel="0" collapsed="false">
      <c r="A22" s="12" t="s">
        <v>286</v>
      </c>
      <c r="B22" s="14" t="s">
        <v>298</v>
      </c>
      <c r="C22" s="15" t="n">
        <v>8</v>
      </c>
      <c r="D22" s="15" t="n">
        <v>18</v>
      </c>
      <c r="E22" s="15" t="n">
        <v>30</v>
      </c>
      <c r="F22" s="15" t="n">
        <v>40</v>
      </c>
      <c r="G22" s="15" t="n">
        <v>50</v>
      </c>
      <c r="H22" s="15" t="n">
        <v>60</v>
      </c>
    </row>
    <row r="23" customFormat="false" ht="15" hidden="false" customHeight="false" outlineLevel="0" collapsed="false">
      <c r="A23" s="12" t="s">
        <v>287</v>
      </c>
      <c r="B23" s="14" t="s">
        <v>298</v>
      </c>
      <c r="C23" s="15" t="n">
        <v>2</v>
      </c>
      <c r="D23" s="15" t="n">
        <v>5</v>
      </c>
      <c r="E23" s="15" t="n">
        <v>8</v>
      </c>
      <c r="F23" s="15" t="n">
        <v>12</v>
      </c>
      <c r="G23" s="15" t="n">
        <v>16</v>
      </c>
      <c r="H23" s="15" t="n">
        <v>20</v>
      </c>
    </row>
    <row r="24" customFormat="false" ht="15" hidden="false" customHeight="false" outlineLevel="0" collapsed="false">
      <c r="A24" s="12" t="s">
        <v>288</v>
      </c>
      <c r="B24" s="14" t="s">
        <v>298</v>
      </c>
      <c r="C24" s="15" t="n">
        <v>1</v>
      </c>
      <c r="D24" s="15" t="n">
        <v>2</v>
      </c>
      <c r="E24" s="15" t="n">
        <v>4</v>
      </c>
      <c r="F24" s="15" t="n">
        <v>6</v>
      </c>
      <c r="G24" s="15" t="n">
        <v>8</v>
      </c>
      <c r="H24" s="15" t="n">
        <v>10</v>
      </c>
    </row>
    <row r="25" customFormat="false" ht="15" hidden="false" customHeight="false" outlineLevel="0" collapsed="false">
      <c r="A25" s="12" t="s">
        <v>289</v>
      </c>
      <c r="B25" s="14" t="s">
        <v>298</v>
      </c>
      <c r="C25" s="15" t="n">
        <v>0</v>
      </c>
      <c r="D25" s="15" t="n">
        <v>0</v>
      </c>
      <c r="E25" s="15" t="n">
        <v>1</v>
      </c>
      <c r="F25" s="15" t="n">
        <v>1</v>
      </c>
      <c r="G25" s="15" t="n">
        <v>2</v>
      </c>
      <c r="H25" s="15" t="n">
        <v>2</v>
      </c>
    </row>
    <row r="26" customFormat="false" ht="15" hidden="false" customHeight="false" outlineLevel="0" collapsed="false">
      <c r="A26" s="16"/>
      <c r="B26" s="17" t="s">
        <v>249</v>
      </c>
      <c r="C26" s="18" t="n">
        <f aca="false">C22*$B$5+C23*$B$6+C24*$B$7+C25*$B$8</f>
        <v>137</v>
      </c>
      <c r="D26" s="18" t="n">
        <f aca="false">D22*$B$5+D23*$B$6+D24*$B$7+D25*$B$8</f>
        <v>303</v>
      </c>
      <c r="E26" s="18" t="n">
        <f aca="false">E22*$B$5+E23*$B$6+E24*$B$7+E25*$B$8</f>
        <v>747</v>
      </c>
      <c r="F26" s="18" t="n">
        <f aca="false">F22*$B$5+F23*$B$6+F24*$B$7+F25*$B$8</f>
        <v>1021</v>
      </c>
      <c r="G26" s="18" t="n">
        <f aca="false">G22*$B$5+G23*$B$6+G24*$B$7+G25*$B$8</f>
        <v>1494</v>
      </c>
      <c r="H26" s="18" t="n">
        <f aca="false">H22*$B$5+H23*$B$6+H24*$B$7+H25*$B$8</f>
        <v>1768</v>
      </c>
    </row>
    <row r="27" customFormat="false" ht="15" hidden="false" customHeight="false" outlineLevel="0" collapsed="false">
      <c r="A27" s="16"/>
      <c r="B27" s="17" t="s">
        <v>299</v>
      </c>
      <c r="C27" s="19" t="n">
        <f aca="false">SUM(C22:C25)</f>
        <v>11</v>
      </c>
      <c r="D27" s="19" t="n">
        <f aca="false">SUM(D22:D25)</f>
        <v>25</v>
      </c>
      <c r="E27" s="19" t="n">
        <f aca="false">SUM(E22:E25)</f>
        <v>43</v>
      </c>
      <c r="F27" s="19" t="n">
        <f aca="false">SUM(F22:F25)</f>
        <v>59</v>
      </c>
      <c r="G27" s="19" t="n">
        <f aca="false">SUM(G22:G25)</f>
        <v>76</v>
      </c>
      <c r="H27" s="19" t="n">
        <f aca="false">SUM(H22:H25)</f>
        <v>92</v>
      </c>
    </row>
    <row r="29" customFormat="false" ht="15" hidden="false" customHeight="false" outlineLevel="0" collapsed="false">
      <c r="A29" s="11" t="s">
        <v>301</v>
      </c>
    </row>
    <row r="30" customFormat="false" ht="26.85" hidden="false" customHeight="false" outlineLevel="0" collapsed="false">
      <c r="A30" s="3"/>
      <c r="B30" s="3" t="s">
        <v>291</v>
      </c>
      <c r="C30" s="3" t="s">
        <v>292</v>
      </c>
      <c r="D30" s="3" t="s">
        <v>293</v>
      </c>
      <c r="E30" s="3" t="s">
        <v>294</v>
      </c>
      <c r="F30" s="3" t="s">
        <v>295</v>
      </c>
      <c r="G30" s="3" t="s">
        <v>296</v>
      </c>
      <c r="H30" s="3" t="s">
        <v>297</v>
      </c>
    </row>
    <row r="31" customFormat="false" ht="15" hidden="false" customHeight="false" outlineLevel="0" collapsed="false">
      <c r="A31" s="12" t="s">
        <v>286</v>
      </c>
      <c r="B31" s="14" t="s">
        <v>298</v>
      </c>
      <c r="C31" s="15" t="n">
        <v>15</v>
      </c>
      <c r="D31" s="15" t="n">
        <v>30</v>
      </c>
      <c r="E31" s="15" t="n">
        <v>50</v>
      </c>
      <c r="F31" s="15" t="n">
        <v>70</v>
      </c>
      <c r="G31" s="15" t="n">
        <v>90</v>
      </c>
      <c r="H31" s="15" t="n">
        <v>110</v>
      </c>
    </row>
    <row r="32" customFormat="false" ht="15" hidden="false" customHeight="false" outlineLevel="0" collapsed="false">
      <c r="A32" s="12" t="s">
        <v>287</v>
      </c>
      <c r="B32" s="14" t="s">
        <v>298</v>
      </c>
      <c r="C32" s="15" t="n">
        <v>3</v>
      </c>
      <c r="D32" s="15" t="n">
        <v>8</v>
      </c>
      <c r="E32" s="15" t="n">
        <v>15</v>
      </c>
      <c r="F32" s="15" t="n">
        <v>22</v>
      </c>
      <c r="G32" s="15" t="n">
        <v>30</v>
      </c>
      <c r="H32" s="15" t="n">
        <v>38</v>
      </c>
    </row>
    <row r="33" customFormat="false" ht="15" hidden="false" customHeight="false" outlineLevel="0" collapsed="false">
      <c r="A33" s="12" t="s">
        <v>288</v>
      </c>
      <c r="B33" s="14" t="s">
        <v>298</v>
      </c>
      <c r="C33" s="15" t="n">
        <v>2</v>
      </c>
      <c r="D33" s="15" t="n">
        <v>4</v>
      </c>
      <c r="E33" s="15" t="n">
        <v>8</v>
      </c>
      <c r="F33" s="15" t="n">
        <v>12</v>
      </c>
      <c r="G33" s="15" t="n">
        <v>16</v>
      </c>
      <c r="H33" s="15" t="n">
        <v>20</v>
      </c>
    </row>
    <row r="34" customFormat="false" ht="15" hidden="false" customHeight="false" outlineLevel="0" collapsed="false">
      <c r="A34" s="12" t="s">
        <v>289</v>
      </c>
      <c r="B34" s="14" t="s">
        <v>298</v>
      </c>
      <c r="C34" s="15" t="n">
        <v>0</v>
      </c>
      <c r="D34" s="15" t="n">
        <v>1</v>
      </c>
      <c r="E34" s="15" t="n">
        <v>2</v>
      </c>
      <c r="F34" s="15" t="n">
        <v>3</v>
      </c>
      <c r="G34" s="15" t="n">
        <v>4</v>
      </c>
      <c r="H34" s="15" t="n">
        <v>5</v>
      </c>
    </row>
    <row r="35" customFormat="false" ht="15" hidden="false" customHeight="false" outlineLevel="0" collapsed="false">
      <c r="A35" s="16"/>
      <c r="B35" s="17" t="s">
        <v>249</v>
      </c>
      <c r="C35" s="18" t="n">
        <f aca="false">C31*$B$5+C32*$B$6+C33*$B$7+C34*$B$8</f>
        <v>245</v>
      </c>
      <c r="D35" s="18" t="n">
        <f aca="false">D31*$B$5+D32*$B$6+D33*$B$7+D34*$B$8</f>
        <v>747</v>
      </c>
      <c r="E35" s="18" t="n">
        <f aca="false">E31*$B$5+E32*$B$6+E33*$B$7+E34*$B$8</f>
        <v>1465</v>
      </c>
      <c r="F35" s="18" t="n">
        <f aca="false">F31*$B$5+F32*$B$6+F33*$B$7+F34*$B$8</f>
        <v>2183</v>
      </c>
      <c r="G35" s="18" t="n">
        <f aca="false">G31*$B$5+G32*$B$6+G33*$B$7+G34*$B$8</f>
        <v>2930</v>
      </c>
      <c r="H35" s="18" t="n">
        <f aca="false">H31*$B$5+H32*$B$6+H33*$B$7+H34*$B$8</f>
        <v>3677</v>
      </c>
    </row>
    <row r="36" customFormat="false" ht="15" hidden="false" customHeight="false" outlineLevel="0" collapsed="false">
      <c r="A36" s="16"/>
      <c r="B36" s="17" t="s">
        <v>299</v>
      </c>
      <c r="C36" s="19" t="n">
        <f aca="false">SUM(C31:C34)</f>
        <v>20</v>
      </c>
      <c r="D36" s="19" t="n">
        <f aca="false">SUM(D31:D34)</f>
        <v>43</v>
      </c>
      <c r="E36" s="19" t="n">
        <f aca="false">SUM(E31:E34)</f>
        <v>75</v>
      </c>
      <c r="F36" s="19" t="n">
        <f aca="false">SUM(F31:F34)</f>
        <v>107</v>
      </c>
      <c r="G36" s="19" t="n">
        <f aca="false">SUM(G31:G34)</f>
        <v>140</v>
      </c>
      <c r="H36" s="19" t="n">
        <f aca="false">SUM(H31:H34)</f>
        <v>173</v>
      </c>
    </row>
    <row r="38" customFormat="false" ht="15" hidden="false" customHeight="false" outlineLevel="0" collapsed="false">
      <c r="A38" s="11" t="s">
        <v>302</v>
      </c>
    </row>
    <row r="39" customFormat="false" ht="26.85" hidden="false" customHeight="false" outlineLevel="0" collapsed="false">
      <c r="A39" s="3" t="s">
        <v>303</v>
      </c>
      <c r="B39" s="3" t="s">
        <v>304</v>
      </c>
      <c r="C39" s="3" t="s">
        <v>305</v>
      </c>
      <c r="D39" s="3" t="s">
        <v>306</v>
      </c>
    </row>
    <row r="40" customFormat="false" ht="15" hidden="false" customHeight="false" outlineLevel="0" collapsed="false">
      <c r="A40" s="12" t="s">
        <v>307</v>
      </c>
      <c r="B40" s="20" t="n">
        <f aca="false">H17</f>
        <v>805</v>
      </c>
      <c r="C40" s="20" t="n">
        <f aca="false">B40*12</f>
        <v>9660</v>
      </c>
      <c r="D40" s="17" t="n">
        <f aca="false">H14+H15+H16</f>
        <v>15</v>
      </c>
    </row>
    <row r="41" customFormat="false" ht="15" hidden="false" customHeight="false" outlineLevel="0" collapsed="false">
      <c r="A41" s="12" t="s">
        <v>308</v>
      </c>
      <c r="B41" s="20" t="n">
        <f aca="false">H26</f>
        <v>1768</v>
      </c>
      <c r="C41" s="20" t="n">
        <f aca="false">B41*12</f>
        <v>21216</v>
      </c>
      <c r="D41" s="17" t="n">
        <f aca="false">H23+H24+H25</f>
        <v>32</v>
      </c>
    </row>
    <row r="42" customFormat="false" ht="15" hidden="false" customHeight="false" outlineLevel="0" collapsed="false">
      <c r="A42" s="12" t="s">
        <v>309</v>
      </c>
      <c r="B42" s="20" t="n">
        <f aca="false">H35</f>
        <v>3677</v>
      </c>
      <c r="C42" s="20" t="n">
        <f aca="false">B42*12</f>
        <v>44124</v>
      </c>
      <c r="D42" s="17" t="n">
        <f aca="false">H32+H33+H34</f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2026-03-26T18:11:45Z</dcterms:created>
  <dc:creator>openpyxl</dc:creator>
  <dc:description/>
  <dc:language>en-US</dc:language>
  <cp:lastModifiedBy/>
  <dcterms:modified xsi:type="dcterms:W3CDTF">2026-03-26T18:11:45Z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